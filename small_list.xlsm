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pythonProject\PySide6_2\"/>
    </mc:Choice>
  </mc:AlternateContent>
  <bookViews>
    <workbookView xWindow="0" yWindow="0" windowWidth="28800" windowHeight="12348"/>
  </bookViews>
  <sheets>
    <sheet name="Sheet1" sheetId="1" r:id="rId1"/>
    <sheet name="Sheet2" sheetId="2" r:id="rId2"/>
  </sheets>
  <definedNames>
    <definedName name="d_h">Sheet1!$BF$1</definedName>
    <definedName name="fd_inf">Sheet1!$BB$1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8" i="1" l="1"/>
  <c r="AG68" i="1"/>
  <c r="AF68" i="1"/>
  <c r="AE68" i="1"/>
  <c r="M68" i="1"/>
  <c r="AD68" i="1"/>
  <c r="AB68" i="1"/>
  <c r="AC68" i="1"/>
  <c r="AA68" i="1"/>
  <c r="Z68" i="1"/>
  <c r="Y68" i="1"/>
  <c r="X68" i="1"/>
  <c r="W68" i="1"/>
  <c r="L68" i="1"/>
  <c r="V68" i="1"/>
  <c r="N68" i="1"/>
  <c r="U68" i="1"/>
  <c r="T68" i="1"/>
  <c r="S68" i="1"/>
  <c r="R68" i="1"/>
  <c r="Q68" i="1"/>
  <c r="P68" i="1"/>
  <c r="K68" i="1"/>
  <c r="J68" i="1"/>
  <c r="AZ1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T67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B67" i="1"/>
  <c r="AC67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BB1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S2" i="1"/>
  <c r="J2" i="1"/>
  <c r="AA67" i="1"/>
  <c r="Z67" i="1"/>
  <c r="S67" i="1"/>
  <c r="R67" i="1"/>
  <c r="Q67" i="1"/>
  <c r="P67" i="1"/>
  <c r="O67" i="1"/>
  <c r="AG67" i="1"/>
  <c r="N67" i="1"/>
  <c r="U67" i="1"/>
  <c r="M67" i="1"/>
  <c r="AD67" i="1"/>
  <c r="L67" i="1"/>
  <c r="V67" i="1"/>
  <c r="J67" i="1"/>
  <c r="Y67" i="1"/>
  <c r="W67" i="1"/>
  <c r="X67" i="1"/>
  <c r="AE67" i="1"/>
  <c r="AF67" i="1"/>
  <c r="AA66" i="1"/>
  <c r="Z66" i="1"/>
  <c r="S66" i="1"/>
  <c r="R66" i="1"/>
  <c r="Q66" i="1"/>
  <c r="P66" i="1"/>
  <c r="O66" i="1"/>
  <c r="AG66" i="1"/>
  <c r="N66" i="1"/>
  <c r="U66" i="1"/>
  <c r="M66" i="1"/>
  <c r="AD66" i="1"/>
  <c r="L66" i="1"/>
  <c r="V66" i="1"/>
  <c r="J66" i="1"/>
  <c r="X66" i="1"/>
  <c r="Y66" i="1"/>
  <c r="W66" i="1"/>
  <c r="AE66" i="1"/>
  <c r="AF66" i="1"/>
  <c r="AA65" i="1"/>
  <c r="Z65" i="1"/>
  <c r="S65" i="1"/>
  <c r="R65" i="1"/>
  <c r="Q65" i="1"/>
  <c r="P65" i="1"/>
  <c r="O65" i="1"/>
  <c r="AF65" i="1"/>
  <c r="N65" i="1"/>
  <c r="U65" i="1"/>
  <c r="M65" i="1"/>
  <c r="AD65" i="1"/>
  <c r="L65" i="1"/>
  <c r="V65" i="1"/>
  <c r="J65" i="1"/>
  <c r="X65" i="1"/>
  <c r="Y65" i="1"/>
  <c r="W65" i="1"/>
  <c r="AE65" i="1"/>
  <c r="AG65" i="1"/>
  <c r="AA64" i="1"/>
  <c r="Z64" i="1"/>
  <c r="S64" i="1"/>
  <c r="R64" i="1"/>
  <c r="Q64" i="1"/>
  <c r="P64" i="1"/>
  <c r="O64" i="1"/>
  <c r="AG64" i="1"/>
  <c r="N64" i="1"/>
  <c r="U64" i="1"/>
  <c r="M64" i="1"/>
  <c r="AD64" i="1"/>
  <c r="L64" i="1"/>
  <c r="V64" i="1"/>
  <c r="J64" i="1"/>
  <c r="X64" i="1"/>
  <c r="Y64" i="1"/>
  <c r="W64" i="1"/>
  <c r="AE64" i="1"/>
  <c r="AF64" i="1"/>
  <c r="AA63" i="1"/>
  <c r="Z63" i="1"/>
  <c r="S63" i="1"/>
  <c r="R63" i="1"/>
  <c r="Q63" i="1"/>
  <c r="P63" i="1"/>
  <c r="O63" i="1"/>
  <c r="AE63" i="1"/>
  <c r="N63" i="1"/>
  <c r="U63" i="1"/>
  <c r="M63" i="1"/>
  <c r="AD63" i="1"/>
  <c r="L63" i="1"/>
  <c r="V63" i="1"/>
  <c r="J63" i="1"/>
  <c r="AA62" i="1"/>
  <c r="Z62" i="1"/>
  <c r="S62" i="1"/>
  <c r="R62" i="1"/>
  <c r="Q62" i="1"/>
  <c r="P62" i="1"/>
  <c r="O62" i="1"/>
  <c r="AG62" i="1"/>
  <c r="N62" i="1"/>
  <c r="U62" i="1"/>
  <c r="M62" i="1"/>
  <c r="AD62" i="1"/>
  <c r="L62" i="1"/>
  <c r="V62" i="1"/>
  <c r="J62" i="1"/>
  <c r="X63" i="1"/>
  <c r="Y62" i="1"/>
  <c r="Y63" i="1"/>
  <c r="X62" i="1"/>
  <c r="W63" i="1"/>
  <c r="AF63" i="1"/>
  <c r="AG63" i="1"/>
  <c r="W62" i="1"/>
  <c r="AE62" i="1"/>
  <c r="AF62" i="1"/>
  <c r="AA61" i="1"/>
  <c r="Z61" i="1"/>
  <c r="M61" i="1"/>
  <c r="W61" i="1"/>
  <c r="S61" i="1"/>
  <c r="R61" i="1"/>
  <c r="Q61" i="1"/>
  <c r="P61" i="1"/>
  <c r="O61" i="1"/>
  <c r="AG61" i="1"/>
  <c r="N61" i="1"/>
  <c r="U61" i="1"/>
  <c r="AD61" i="1"/>
  <c r="L61" i="1"/>
  <c r="V61" i="1"/>
  <c r="J61" i="1"/>
  <c r="AE61" i="1"/>
  <c r="X61" i="1"/>
  <c r="Y61" i="1"/>
  <c r="AF61" i="1"/>
  <c r="AA60" i="1"/>
  <c r="Z60" i="1"/>
  <c r="S60" i="1"/>
  <c r="R60" i="1"/>
  <c r="Q60" i="1"/>
  <c r="P60" i="1"/>
  <c r="O60" i="1"/>
  <c r="AG60" i="1"/>
  <c r="N60" i="1"/>
  <c r="U60" i="1"/>
  <c r="M60" i="1"/>
  <c r="AD60" i="1"/>
  <c r="L60" i="1"/>
  <c r="V60" i="1"/>
  <c r="J60" i="1"/>
  <c r="X60" i="1"/>
  <c r="Y60" i="1"/>
  <c r="W60" i="1"/>
  <c r="AE60" i="1"/>
  <c r="AF60" i="1"/>
  <c r="AA59" i="1"/>
  <c r="Z59" i="1"/>
  <c r="S59" i="1"/>
  <c r="R59" i="1"/>
  <c r="Q59" i="1"/>
  <c r="P59" i="1"/>
  <c r="O59" i="1"/>
  <c r="AF59" i="1"/>
  <c r="N59" i="1"/>
  <c r="U59" i="1"/>
  <c r="M59" i="1"/>
  <c r="AD59" i="1"/>
  <c r="L59" i="1"/>
  <c r="V59" i="1"/>
  <c r="J59" i="1"/>
  <c r="Y59" i="1"/>
  <c r="W59" i="1"/>
  <c r="AE59" i="1"/>
  <c r="X59" i="1"/>
  <c r="AG59" i="1"/>
  <c r="AA58" i="1"/>
  <c r="Z58" i="1"/>
  <c r="S58" i="1"/>
  <c r="R58" i="1"/>
  <c r="Q58" i="1"/>
  <c r="P58" i="1"/>
  <c r="O58" i="1"/>
  <c r="AG58" i="1"/>
  <c r="N58" i="1"/>
  <c r="U58" i="1"/>
  <c r="M58" i="1"/>
  <c r="AD58" i="1"/>
  <c r="L58" i="1"/>
  <c r="V58" i="1"/>
  <c r="J58" i="1"/>
  <c r="X58" i="1"/>
  <c r="Y58" i="1"/>
  <c r="W58" i="1"/>
  <c r="AE58" i="1"/>
  <c r="AF58" i="1"/>
  <c r="AA57" i="1"/>
  <c r="Z57" i="1"/>
  <c r="S57" i="1"/>
  <c r="R57" i="1"/>
  <c r="Q57" i="1"/>
  <c r="P57" i="1"/>
  <c r="O57" i="1"/>
  <c r="AG57" i="1"/>
  <c r="N57" i="1"/>
  <c r="U57" i="1"/>
  <c r="M57" i="1"/>
  <c r="AD57" i="1"/>
  <c r="L57" i="1"/>
  <c r="V57" i="1"/>
  <c r="J57" i="1"/>
  <c r="AA56" i="1"/>
  <c r="Z56" i="1"/>
  <c r="S56" i="1"/>
  <c r="R56" i="1"/>
  <c r="Q56" i="1"/>
  <c r="P56" i="1"/>
  <c r="O56" i="1"/>
  <c r="AF56" i="1"/>
  <c r="N56" i="1"/>
  <c r="U56" i="1"/>
  <c r="M56" i="1"/>
  <c r="AD56" i="1"/>
  <c r="L56" i="1"/>
  <c r="V56" i="1"/>
  <c r="J56" i="1"/>
  <c r="W56" i="1"/>
  <c r="Y57" i="1"/>
  <c r="X56" i="1"/>
  <c r="AE57" i="1"/>
  <c r="Y56" i="1"/>
  <c r="W57" i="1"/>
  <c r="AE56" i="1"/>
  <c r="X57" i="1"/>
  <c r="AF57" i="1"/>
  <c r="AG56" i="1"/>
  <c r="AA55" i="1"/>
  <c r="Z55" i="1"/>
  <c r="S55" i="1"/>
  <c r="R55" i="1"/>
  <c r="Q55" i="1"/>
  <c r="P55" i="1"/>
  <c r="O55" i="1"/>
  <c r="AG55" i="1"/>
  <c r="N55" i="1"/>
  <c r="U55" i="1"/>
  <c r="M55" i="1"/>
  <c r="AD55" i="1"/>
  <c r="L55" i="1"/>
  <c r="V55" i="1"/>
  <c r="J55" i="1"/>
  <c r="W55" i="1"/>
  <c r="Y55" i="1"/>
  <c r="X55" i="1"/>
  <c r="AE55" i="1"/>
  <c r="AF55" i="1"/>
  <c r="AA54" i="1"/>
  <c r="Z54" i="1"/>
  <c r="S54" i="1"/>
  <c r="R54" i="1"/>
  <c r="Q54" i="1"/>
  <c r="P54" i="1"/>
  <c r="O54" i="1"/>
  <c r="AG54" i="1"/>
  <c r="N54" i="1"/>
  <c r="U54" i="1"/>
  <c r="M54" i="1"/>
  <c r="AD54" i="1"/>
  <c r="L54" i="1"/>
  <c r="V54" i="1"/>
  <c r="J54" i="1"/>
  <c r="W54" i="1"/>
  <c r="X54" i="1"/>
  <c r="Y54" i="1"/>
  <c r="AE54" i="1"/>
  <c r="AF54" i="1"/>
  <c r="AA53" i="1"/>
  <c r="Z53" i="1"/>
  <c r="S53" i="1"/>
  <c r="R53" i="1"/>
  <c r="Q53" i="1"/>
  <c r="P53" i="1"/>
  <c r="O53" i="1"/>
  <c r="AG53" i="1"/>
  <c r="N53" i="1"/>
  <c r="U53" i="1"/>
  <c r="M53" i="1"/>
  <c r="AD53" i="1"/>
  <c r="L53" i="1"/>
  <c r="V53" i="1"/>
  <c r="J53" i="1"/>
  <c r="X53" i="1"/>
  <c r="W53" i="1"/>
  <c r="AE53" i="1"/>
  <c r="AF53" i="1"/>
  <c r="Y53" i="1"/>
  <c r="AA52" i="1"/>
  <c r="Z52" i="1"/>
  <c r="M52" i="1"/>
  <c r="W52" i="1"/>
  <c r="S52" i="1"/>
  <c r="R52" i="1"/>
  <c r="Q52" i="1"/>
  <c r="P52" i="1"/>
  <c r="O52" i="1"/>
  <c r="AG52" i="1"/>
  <c r="N52" i="1"/>
  <c r="U52" i="1"/>
  <c r="AD52" i="1"/>
  <c r="L52" i="1"/>
  <c r="V52" i="1"/>
  <c r="J52" i="1"/>
  <c r="Y52" i="1"/>
  <c r="AE52" i="1"/>
  <c r="X52" i="1"/>
  <c r="AF52" i="1"/>
  <c r="AA51" i="1"/>
  <c r="Z51" i="1"/>
  <c r="S51" i="1"/>
  <c r="R51" i="1"/>
  <c r="Q51" i="1"/>
  <c r="P51" i="1"/>
  <c r="O51" i="1"/>
  <c r="AG51" i="1"/>
  <c r="N51" i="1"/>
  <c r="U51" i="1"/>
  <c r="M51" i="1"/>
  <c r="AD51" i="1"/>
  <c r="L51" i="1"/>
  <c r="V51" i="1"/>
  <c r="J51" i="1"/>
  <c r="W51" i="1"/>
  <c r="X51" i="1"/>
  <c r="Y51" i="1"/>
  <c r="AE51" i="1"/>
  <c r="AF51" i="1"/>
  <c r="AA50" i="1"/>
  <c r="Z50" i="1"/>
  <c r="S50" i="1"/>
  <c r="R50" i="1"/>
  <c r="Q50" i="1"/>
  <c r="P50" i="1"/>
  <c r="O50" i="1"/>
  <c r="AG50" i="1"/>
  <c r="N50" i="1"/>
  <c r="U50" i="1"/>
  <c r="M50" i="1"/>
  <c r="AD50" i="1"/>
  <c r="L50" i="1"/>
  <c r="V50" i="1"/>
  <c r="J50" i="1"/>
  <c r="W50" i="1"/>
  <c r="X50" i="1"/>
  <c r="Y50" i="1"/>
  <c r="AE50" i="1"/>
  <c r="AF50" i="1"/>
  <c r="AA49" i="1"/>
  <c r="Z49" i="1"/>
  <c r="S49" i="1"/>
  <c r="R49" i="1"/>
  <c r="Q49" i="1"/>
  <c r="P49" i="1"/>
  <c r="O49" i="1"/>
  <c r="AG49" i="1"/>
  <c r="N49" i="1"/>
  <c r="U49" i="1"/>
  <c r="M49" i="1"/>
  <c r="AD49" i="1"/>
  <c r="L49" i="1"/>
  <c r="V49" i="1"/>
  <c r="J49" i="1"/>
  <c r="AA48" i="1"/>
  <c r="Z48" i="1"/>
  <c r="S48" i="1"/>
  <c r="R48" i="1"/>
  <c r="Q48" i="1"/>
  <c r="P48" i="1"/>
  <c r="O48" i="1"/>
  <c r="AG48" i="1"/>
  <c r="N48" i="1"/>
  <c r="U48" i="1"/>
  <c r="M48" i="1"/>
  <c r="AD48" i="1"/>
  <c r="L48" i="1"/>
  <c r="V48" i="1"/>
  <c r="J48" i="1"/>
  <c r="W49" i="1"/>
  <c r="Y48" i="1"/>
  <c r="X49" i="1"/>
  <c r="Y49" i="1"/>
  <c r="X48" i="1"/>
  <c r="W48" i="1"/>
  <c r="AF49" i="1"/>
  <c r="AE49" i="1"/>
  <c r="AE48" i="1"/>
  <c r="AF48" i="1"/>
  <c r="AA47" i="1"/>
  <c r="Z47" i="1"/>
  <c r="S47" i="1"/>
  <c r="R47" i="1"/>
  <c r="Q47" i="1"/>
  <c r="P47" i="1"/>
  <c r="O47" i="1"/>
  <c r="AG47" i="1"/>
  <c r="N47" i="1"/>
  <c r="U47" i="1"/>
  <c r="M47" i="1"/>
  <c r="AD47" i="1"/>
  <c r="L47" i="1"/>
  <c r="V47" i="1"/>
  <c r="J47" i="1"/>
  <c r="X47" i="1"/>
  <c r="Y47" i="1"/>
  <c r="W47" i="1"/>
  <c r="AE47" i="1"/>
  <c r="AF47" i="1"/>
  <c r="AA46" i="1"/>
  <c r="Z46" i="1"/>
  <c r="S46" i="1"/>
  <c r="R46" i="1"/>
  <c r="Q46" i="1"/>
  <c r="P46" i="1"/>
  <c r="O46" i="1"/>
  <c r="AG46" i="1"/>
  <c r="N46" i="1"/>
  <c r="U46" i="1"/>
  <c r="M46" i="1"/>
  <c r="AD46" i="1"/>
  <c r="L46" i="1"/>
  <c r="V46" i="1"/>
  <c r="J46" i="1"/>
  <c r="X46" i="1"/>
  <c r="Y46" i="1"/>
  <c r="W46" i="1"/>
  <c r="AE46" i="1"/>
  <c r="AF46" i="1"/>
  <c r="AA45" i="1"/>
  <c r="Z45" i="1"/>
  <c r="S45" i="1"/>
  <c r="R45" i="1"/>
  <c r="Q45" i="1"/>
  <c r="P45" i="1"/>
  <c r="O45" i="1"/>
  <c r="AF45" i="1"/>
  <c r="N45" i="1"/>
  <c r="U45" i="1"/>
  <c r="M45" i="1"/>
  <c r="AD45" i="1"/>
  <c r="L45" i="1"/>
  <c r="V45" i="1"/>
  <c r="J45" i="1"/>
  <c r="W45" i="1"/>
  <c r="Y45" i="1"/>
  <c r="AE45" i="1"/>
  <c r="X45" i="1"/>
  <c r="AG45" i="1"/>
  <c r="J44" i="1"/>
  <c r="AA44" i="1"/>
  <c r="Z44" i="1"/>
  <c r="S44" i="1"/>
  <c r="R44" i="1"/>
  <c r="Q44" i="1"/>
  <c r="P44" i="1"/>
  <c r="O44" i="1"/>
  <c r="AG44" i="1"/>
  <c r="N44" i="1"/>
  <c r="U44" i="1"/>
  <c r="M44" i="1"/>
  <c r="AD44" i="1"/>
  <c r="L44" i="1"/>
  <c r="V44" i="1"/>
  <c r="X44" i="1"/>
  <c r="Y44" i="1"/>
  <c r="W44" i="1"/>
  <c r="AE44" i="1"/>
  <c r="AF44" i="1"/>
  <c r="AA43" i="1"/>
  <c r="Z43" i="1"/>
  <c r="S43" i="1"/>
  <c r="R43" i="1"/>
  <c r="Q43" i="1"/>
  <c r="P43" i="1"/>
  <c r="O43" i="1"/>
  <c r="AF43" i="1"/>
  <c r="N43" i="1"/>
  <c r="U43" i="1"/>
  <c r="M43" i="1"/>
  <c r="AD43" i="1"/>
  <c r="L43" i="1"/>
  <c r="V43" i="1"/>
  <c r="J43" i="1"/>
  <c r="W43" i="1"/>
  <c r="X43" i="1"/>
  <c r="Y43" i="1"/>
  <c r="AE43" i="1"/>
  <c r="AG43" i="1"/>
  <c r="AA42" i="1"/>
  <c r="Z42" i="1"/>
  <c r="S42" i="1"/>
  <c r="R42" i="1"/>
  <c r="Q42" i="1"/>
  <c r="P42" i="1"/>
  <c r="O42" i="1"/>
  <c r="AF42" i="1"/>
  <c r="N42" i="1"/>
  <c r="U42" i="1"/>
  <c r="M42" i="1"/>
  <c r="AD42" i="1"/>
  <c r="L42" i="1"/>
  <c r="V42" i="1"/>
  <c r="J42" i="1"/>
  <c r="Y42" i="1"/>
  <c r="X42" i="1"/>
  <c r="AE42" i="1"/>
  <c r="W42" i="1"/>
  <c r="AG42" i="1"/>
  <c r="AA41" i="1"/>
  <c r="Z41" i="1"/>
  <c r="S41" i="1"/>
  <c r="R41" i="1"/>
  <c r="Q41" i="1"/>
  <c r="P41" i="1"/>
  <c r="O41" i="1"/>
  <c r="AF41" i="1"/>
  <c r="N41" i="1"/>
  <c r="U41" i="1"/>
  <c r="M41" i="1"/>
  <c r="AD41" i="1"/>
  <c r="L41" i="1"/>
  <c r="V41" i="1"/>
  <c r="J41" i="1"/>
  <c r="Y41" i="1"/>
  <c r="X41" i="1"/>
  <c r="W41" i="1"/>
  <c r="AE41" i="1"/>
  <c r="AG41" i="1"/>
  <c r="J39" i="1"/>
  <c r="J40" i="1"/>
  <c r="AA40" i="1"/>
  <c r="Z40" i="1"/>
  <c r="S40" i="1"/>
  <c r="R40" i="1"/>
  <c r="Q40" i="1"/>
  <c r="P40" i="1"/>
  <c r="O40" i="1"/>
  <c r="AG40" i="1"/>
  <c r="N40" i="1"/>
  <c r="U40" i="1"/>
  <c r="M40" i="1"/>
  <c r="AD40" i="1"/>
  <c r="L40" i="1"/>
  <c r="V40" i="1"/>
  <c r="W40" i="1"/>
  <c r="X40" i="1"/>
  <c r="Y40" i="1"/>
  <c r="AE40" i="1"/>
  <c r="AF40" i="1"/>
  <c r="AA39" i="1"/>
  <c r="Z39" i="1"/>
  <c r="S39" i="1"/>
  <c r="R39" i="1"/>
  <c r="Q39" i="1"/>
  <c r="P39" i="1"/>
  <c r="O39" i="1"/>
  <c r="AG39" i="1"/>
  <c r="N39" i="1"/>
  <c r="U39" i="1"/>
  <c r="M39" i="1"/>
  <c r="AD39" i="1"/>
  <c r="L39" i="1"/>
  <c r="V39" i="1"/>
  <c r="X39" i="1"/>
  <c r="Y39" i="1"/>
  <c r="W39" i="1"/>
  <c r="AE39" i="1"/>
  <c r="AF39" i="1"/>
  <c r="AA38" i="1"/>
  <c r="Z38" i="1"/>
  <c r="S38" i="1"/>
  <c r="R38" i="1"/>
  <c r="Q38" i="1"/>
  <c r="P38" i="1"/>
  <c r="O38" i="1"/>
  <c r="AG38" i="1"/>
  <c r="N38" i="1"/>
  <c r="U38" i="1"/>
  <c r="M38" i="1"/>
  <c r="AD38" i="1"/>
  <c r="L38" i="1"/>
  <c r="V38" i="1"/>
  <c r="J38" i="1"/>
  <c r="X38" i="1"/>
  <c r="Y38" i="1"/>
  <c r="W38" i="1"/>
  <c r="AE38" i="1"/>
  <c r="AF38" i="1"/>
  <c r="AA37" i="1"/>
  <c r="Z37" i="1"/>
  <c r="S37" i="1"/>
  <c r="R37" i="1"/>
  <c r="Q37" i="1"/>
  <c r="P37" i="1"/>
  <c r="O37" i="1"/>
  <c r="AG37" i="1"/>
  <c r="N37" i="1"/>
  <c r="U37" i="1"/>
  <c r="M37" i="1"/>
  <c r="AD37" i="1"/>
  <c r="L37" i="1"/>
  <c r="V37" i="1"/>
  <c r="J37" i="1"/>
  <c r="W37" i="1"/>
  <c r="AE37" i="1"/>
  <c r="AF37" i="1"/>
  <c r="X37" i="1"/>
  <c r="Y37" i="1"/>
  <c r="AA36" i="1"/>
  <c r="Z36" i="1"/>
  <c r="S36" i="1"/>
  <c r="R36" i="1"/>
  <c r="Q36" i="1"/>
  <c r="P36" i="1"/>
  <c r="O36" i="1"/>
  <c r="AG36" i="1"/>
  <c r="N36" i="1"/>
  <c r="U36" i="1"/>
  <c r="M36" i="1"/>
  <c r="AD36" i="1"/>
  <c r="L36" i="1"/>
  <c r="V36" i="1"/>
  <c r="J36" i="1"/>
  <c r="X36" i="1"/>
  <c r="Y36" i="1"/>
  <c r="W36" i="1"/>
  <c r="AE36" i="1"/>
  <c r="AF36" i="1"/>
  <c r="AA35" i="1"/>
  <c r="Z35" i="1"/>
  <c r="S35" i="1"/>
  <c r="R35" i="1"/>
  <c r="Q35" i="1"/>
  <c r="P35" i="1"/>
  <c r="O35" i="1"/>
  <c r="AG35" i="1"/>
  <c r="N35" i="1"/>
  <c r="U35" i="1"/>
  <c r="M35" i="1"/>
  <c r="Y35" i="1"/>
  <c r="L35" i="1"/>
  <c r="V35" i="1"/>
  <c r="J35" i="1"/>
  <c r="AA34" i="1"/>
  <c r="Z34" i="1"/>
  <c r="S34" i="1"/>
  <c r="R34" i="1"/>
  <c r="Q34" i="1"/>
  <c r="P34" i="1"/>
  <c r="O34" i="1"/>
  <c r="AE34" i="1"/>
  <c r="N34" i="1"/>
  <c r="U34" i="1"/>
  <c r="M34" i="1"/>
  <c r="W34" i="1"/>
  <c r="L34" i="1"/>
  <c r="V34" i="1"/>
  <c r="J34" i="1"/>
  <c r="AE35" i="1"/>
  <c r="X34" i="1"/>
  <c r="Y34" i="1"/>
  <c r="AF34" i="1"/>
  <c r="AG34" i="1"/>
  <c r="AD34" i="1"/>
  <c r="W35" i="1"/>
  <c r="X35" i="1"/>
  <c r="AF35" i="1"/>
  <c r="AD35" i="1"/>
  <c r="AA33" i="1"/>
  <c r="Z33" i="1"/>
  <c r="M33" i="1"/>
  <c r="W33" i="1"/>
  <c r="S33" i="1"/>
  <c r="R33" i="1"/>
  <c r="Q33" i="1"/>
  <c r="P33" i="1"/>
  <c r="O33" i="1"/>
  <c r="AG33" i="1"/>
  <c r="N33" i="1"/>
  <c r="U33" i="1"/>
  <c r="AD33" i="1"/>
  <c r="L33" i="1"/>
  <c r="V33" i="1"/>
  <c r="J33" i="1"/>
  <c r="X33" i="1"/>
  <c r="Y33" i="1"/>
  <c r="AE33" i="1"/>
  <c r="AF33" i="1"/>
  <c r="AA32" i="1"/>
  <c r="Z32" i="1"/>
  <c r="S32" i="1"/>
  <c r="R32" i="1"/>
  <c r="Q32" i="1"/>
  <c r="P32" i="1"/>
  <c r="O32" i="1"/>
  <c r="AG32" i="1"/>
  <c r="N32" i="1"/>
  <c r="U32" i="1"/>
  <c r="M32" i="1"/>
  <c r="AD32" i="1"/>
  <c r="L32" i="1"/>
  <c r="V32" i="1"/>
  <c r="J32" i="1"/>
  <c r="W32" i="1"/>
  <c r="X32" i="1"/>
  <c r="Y32" i="1"/>
  <c r="AE32" i="1"/>
  <c r="AF32" i="1"/>
  <c r="AA31" i="1"/>
  <c r="Z31" i="1"/>
  <c r="S31" i="1"/>
  <c r="R31" i="1"/>
  <c r="Q31" i="1"/>
  <c r="P31" i="1"/>
  <c r="O31" i="1"/>
  <c r="AE31" i="1"/>
  <c r="N31" i="1"/>
  <c r="U31" i="1"/>
  <c r="M31" i="1"/>
  <c r="AD31" i="1"/>
  <c r="L31" i="1"/>
  <c r="V31" i="1"/>
  <c r="J31" i="1"/>
  <c r="X31" i="1"/>
  <c r="Y31" i="1"/>
  <c r="W31" i="1"/>
  <c r="AF31" i="1"/>
  <c r="AG31" i="1"/>
  <c r="AA30" i="1"/>
  <c r="Z30" i="1"/>
  <c r="S30" i="1"/>
  <c r="R30" i="1"/>
  <c r="Q30" i="1"/>
  <c r="P30" i="1"/>
  <c r="O30" i="1"/>
  <c r="AG30" i="1"/>
  <c r="N30" i="1"/>
  <c r="U30" i="1"/>
  <c r="M30" i="1"/>
  <c r="AD30" i="1"/>
  <c r="L30" i="1"/>
  <c r="V30" i="1"/>
  <c r="J30" i="1"/>
  <c r="X30" i="1"/>
  <c r="Y30" i="1"/>
  <c r="W30" i="1"/>
  <c r="AE30" i="1"/>
  <c r="AF30" i="1"/>
  <c r="AA29" i="1"/>
  <c r="Z29" i="1"/>
  <c r="S29" i="1"/>
  <c r="R29" i="1"/>
  <c r="Q29" i="1"/>
  <c r="P29" i="1"/>
  <c r="O29" i="1"/>
  <c r="AF29" i="1"/>
  <c r="N29" i="1"/>
  <c r="U29" i="1"/>
  <c r="M29" i="1"/>
  <c r="AD29" i="1"/>
  <c r="L29" i="1"/>
  <c r="V29" i="1"/>
  <c r="J29" i="1"/>
  <c r="Y29" i="1"/>
  <c r="AE29" i="1"/>
  <c r="W29" i="1"/>
  <c r="X29" i="1"/>
  <c r="AG29" i="1"/>
  <c r="AA28" i="1"/>
  <c r="Z28" i="1"/>
  <c r="S28" i="1"/>
  <c r="R28" i="1"/>
  <c r="Q28" i="1"/>
  <c r="P28" i="1"/>
  <c r="O28" i="1"/>
  <c r="AF28" i="1"/>
  <c r="N28" i="1"/>
  <c r="U28" i="1"/>
  <c r="M28" i="1"/>
  <c r="AD28" i="1"/>
  <c r="L28" i="1"/>
  <c r="V28" i="1"/>
  <c r="J28" i="1"/>
  <c r="X28" i="1"/>
  <c r="Y28" i="1"/>
  <c r="AE28" i="1"/>
  <c r="W28" i="1"/>
  <c r="AG28" i="1"/>
  <c r="AA27" i="1"/>
  <c r="Z27" i="1"/>
  <c r="S27" i="1"/>
  <c r="R27" i="1"/>
  <c r="Q27" i="1"/>
  <c r="P27" i="1"/>
  <c r="O27" i="1"/>
  <c r="AE27" i="1"/>
  <c r="N27" i="1"/>
  <c r="U27" i="1"/>
  <c r="M27" i="1"/>
  <c r="AD27" i="1"/>
  <c r="L27" i="1"/>
  <c r="V27" i="1"/>
  <c r="J27" i="1"/>
  <c r="X27" i="1"/>
  <c r="Y27" i="1"/>
  <c r="W27" i="1"/>
  <c r="AF27" i="1"/>
  <c r="AG27" i="1"/>
  <c r="AA26" i="1"/>
  <c r="Z26" i="1"/>
  <c r="S26" i="1"/>
  <c r="R26" i="1"/>
  <c r="Q26" i="1"/>
  <c r="P26" i="1"/>
  <c r="O26" i="1"/>
  <c r="AF26" i="1"/>
  <c r="N26" i="1"/>
  <c r="U26" i="1"/>
  <c r="M26" i="1"/>
  <c r="AD26" i="1"/>
  <c r="L26" i="1"/>
  <c r="V26" i="1"/>
  <c r="J26" i="1"/>
  <c r="Y26" i="1"/>
  <c r="AE26" i="1"/>
  <c r="W26" i="1"/>
  <c r="X26" i="1"/>
  <c r="AG26" i="1"/>
  <c r="AA25" i="1"/>
  <c r="Z25" i="1"/>
  <c r="S25" i="1"/>
  <c r="R25" i="1"/>
  <c r="Q25" i="1"/>
  <c r="P25" i="1"/>
  <c r="O25" i="1"/>
  <c r="AG25" i="1"/>
  <c r="N25" i="1"/>
  <c r="U25" i="1"/>
  <c r="M25" i="1"/>
  <c r="AD25" i="1"/>
  <c r="L25" i="1"/>
  <c r="V25" i="1"/>
  <c r="J25" i="1"/>
  <c r="X25" i="1"/>
  <c r="Y25" i="1"/>
  <c r="W25" i="1"/>
  <c r="AE25" i="1"/>
  <c r="AF25" i="1"/>
  <c r="AA24" i="1"/>
  <c r="Z24" i="1"/>
  <c r="S24" i="1"/>
  <c r="R24" i="1"/>
  <c r="Q24" i="1"/>
  <c r="P24" i="1"/>
  <c r="O24" i="1"/>
  <c r="AG24" i="1"/>
  <c r="N24" i="1"/>
  <c r="U24" i="1"/>
  <c r="M24" i="1"/>
  <c r="AD24" i="1"/>
  <c r="L24" i="1"/>
  <c r="V24" i="1"/>
  <c r="J24" i="1"/>
  <c r="X24" i="1"/>
  <c r="Y24" i="1"/>
  <c r="W24" i="1"/>
  <c r="AE24" i="1"/>
  <c r="AF24" i="1"/>
  <c r="AA23" i="1"/>
  <c r="Z23" i="1"/>
  <c r="S23" i="1"/>
  <c r="R23" i="1"/>
  <c r="Q23" i="1"/>
  <c r="P23" i="1"/>
  <c r="O23" i="1"/>
  <c r="AG23" i="1"/>
  <c r="N23" i="1"/>
  <c r="U23" i="1"/>
  <c r="M23" i="1"/>
  <c r="AD23" i="1"/>
  <c r="L23" i="1"/>
  <c r="V23" i="1"/>
  <c r="J23" i="1"/>
  <c r="X23" i="1"/>
  <c r="Y23" i="1"/>
  <c r="W23" i="1"/>
  <c r="AE23" i="1"/>
  <c r="AF23" i="1"/>
  <c r="AA22" i="1"/>
  <c r="Z22" i="1"/>
  <c r="S22" i="1"/>
  <c r="R22" i="1"/>
  <c r="Q22" i="1"/>
  <c r="P22" i="1"/>
  <c r="O22" i="1"/>
  <c r="AG22" i="1"/>
  <c r="N22" i="1"/>
  <c r="U22" i="1"/>
  <c r="M22" i="1"/>
  <c r="AD22" i="1"/>
  <c r="L22" i="1"/>
  <c r="V22" i="1"/>
  <c r="J22" i="1"/>
  <c r="X22" i="1"/>
  <c r="Y22" i="1"/>
  <c r="W22" i="1"/>
  <c r="AE22" i="1"/>
  <c r="AF22" i="1"/>
  <c r="AA21" i="1"/>
  <c r="Z21" i="1"/>
  <c r="S21" i="1"/>
  <c r="R21" i="1"/>
  <c r="Q21" i="1"/>
  <c r="P21" i="1"/>
  <c r="O21" i="1"/>
  <c r="AG21" i="1"/>
  <c r="N21" i="1"/>
  <c r="U21" i="1"/>
  <c r="M21" i="1"/>
  <c r="AD21" i="1"/>
  <c r="L21" i="1"/>
  <c r="V21" i="1"/>
  <c r="J21" i="1"/>
  <c r="X21" i="1"/>
  <c r="Y21" i="1"/>
  <c r="W21" i="1"/>
  <c r="AE21" i="1"/>
  <c r="AF21" i="1"/>
  <c r="AA20" i="1"/>
  <c r="Z20" i="1"/>
  <c r="S20" i="1"/>
  <c r="R20" i="1"/>
  <c r="Q20" i="1"/>
  <c r="P20" i="1"/>
  <c r="O20" i="1"/>
  <c r="AG20" i="1"/>
  <c r="N20" i="1"/>
  <c r="U20" i="1"/>
  <c r="M20" i="1"/>
  <c r="AD20" i="1"/>
  <c r="L20" i="1"/>
  <c r="V20" i="1"/>
  <c r="J20" i="1"/>
  <c r="X20" i="1"/>
  <c r="Y20" i="1"/>
  <c r="W20" i="1"/>
  <c r="AE20" i="1"/>
  <c r="AF20" i="1"/>
  <c r="AA19" i="1"/>
  <c r="Z19" i="1"/>
  <c r="S19" i="1"/>
  <c r="R19" i="1"/>
  <c r="Q19" i="1"/>
  <c r="P19" i="1"/>
  <c r="O19" i="1"/>
  <c r="AG19" i="1"/>
  <c r="N19" i="1"/>
  <c r="U19" i="1"/>
  <c r="M19" i="1"/>
  <c r="AD19" i="1"/>
  <c r="L19" i="1"/>
  <c r="V19" i="1"/>
  <c r="J19" i="1"/>
  <c r="W19" i="1"/>
  <c r="Y19" i="1"/>
  <c r="X19" i="1"/>
  <c r="AF19" i="1"/>
  <c r="AE19" i="1"/>
  <c r="AA18" i="1"/>
  <c r="Z18" i="1"/>
  <c r="S18" i="1"/>
  <c r="R18" i="1"/>
  <c r="Q18" i="1"/>
  <c r="P18" i="1"/>
  <c r="O18" i="1"/>
  <c r="AG18" i="1"/>
  <c r="N18" i="1"/>
  <c r="U18" i="1"/>
  <c r="M18" i="1"/>
  <c r="AD18" i="1"/>
  <c r="L18" i="1"/>
  <c r="V18" i="1"/>
  <c r="J18" i="1"/>
  <c r="Y18" i="1"/>
  <c r="W18" i="1"/>
  <c r="X18" i="1"/>
  <c r="AE18" i="1"/>
  <c r="AF18" i="1"/>
  <c r="AA17" i="1"/>
  <c r="Z17" i="1"/>
  <c r="S17" i="1"/>
  <c r="R17" i="1"/>
  <c r="Q17" i="1"/>
  <c r="P17" i="1"/>
  <c r="O17" i="1"/>
  <c r="AG17" i="1"/>
  <c r="N17" i="1"/>
  <c r="U17" i="1"/>
  <c r="M17" i="1"/>
  <c r="AD17" i="1"/>
  <c r="L17" i="1"/>
  <c r="V17" i="1"/>
  <c r="J17" i="1"/>
  <c r="W17" i="1"/>
  <c r="X17" i="1"/>
  <c r="Y17" i="1"/>
  <c r="AE17" i="1"/>
  <c r="AF17" i="1"/>
  <c r="AA16" i="1"/>
  <c r="Z16" i="1"/>
  <c r="S16" i="1"/>
  <c r="R16" i="1"/>
  <c r="Q16" i="1"/>
  <c r="P16" i="1"/>
  <c r="O16" i="1"/>
  <c r="AF16" i="1"/>
  <c r="N16" i="1"/>
  <c r="U16" i="1"/>
  <c r="M16" i="1"/>
  <c r="AD16" i="1"/>
  <c r="L16" i="1"/>
  <c r="V16" i="1"/>
  <c r="J16" i="1"/>
  <c r="Y16" i="1"/>
  <c r="AE16" i="1"/>
  <c r="X16" i="1"/>
  <c r="W16" i="1"/>
  <c r="AG16" i="1"/>
  <c r="AA15" i="1"/>
  <c r="Z15" i="1"/>
  <c r="S15" i="1"/>
  <c r="R15" i="1"/>
  <c r="Q15" i="1"/>
  <c r="P15" i="1"/>
  <c r="O15" i="1"/>
  <c r="AF15" i="1"/>
  <c r="N15" i="1"/>
  <c r="U15" i="1"/>
  <c r="M15" i="1"/>
  <c r="AD15" i="1"/>
  <c r="L15" i="1"/>
  <c r="V15" i="1"/>
  <c r="J15" i="1"/>
  <c r="Y15" i="1"/>
  <c r="AE15" i="1"/>
  <c r="W15" i="1"/>
  <c r="X15" i="1"/>
  <c r="AG15" i="1"/>
  <c r="AA14" i="1"/>
  <c r="Z14" i="1"/>
  <c r="S14" i="1"/>
  <c r="R14" i="1"/>
  <c r="Q14" i="1"/>
  <c r="P14" i="1"/>
  <c r="O14" i="1"/>
  <c r="AF14" i="1"/>
  <c r="N14" i="1"/>
  <c r="U14" i="1"/>
  <c r="M14" i="1"/>
  <c r="AD14" i="1"/>
  <c r="L14" i="1"/>
  <c r="V14" i="1"/>
  <c r="J14" i="1"/>
  <c r="X14" i="1"/>
  <c r="W14" i="1"/>
  <c r="Y14" i="1"/>
  <c r="AE14" i="1"/>
  <c r="AG14" i="1"/>
  <c r="AA13" i="1"/>
  <c r="Z13" i="1"/>
  <c r="S13" i="1"/>
  <c r="R13" i="1"/>
  <c r="Q13" i="1"/>
  <c r="P13" i="1"/>
  <c r="O13" i="1"/>
  <c r="AG13" i="1"/>
  <c r="N13" i="1"/>
  <c r="U13" i="1"/>
  <c r="M13" i="1"/>
  <c r="AD13" i="1"/>
  <c r="L13" i="1"/>
  <c r="V13" i="1"/>
  <c r="J13" i="1"/>
  <c r="X13" i="1"/>
  <c r="Y13" i="1"/>
  <c r="W13" i="1"/>
  <c r="AE13" i="1"/>
  <c r="AF13" i="1"/>
  <c r="AA12" i="1"/>
  <c r="Z12" i="1"/>
  <c r="S12" i="1"/>
  <c r="R12" i="1"/>
  <c r="Q12" i="1"/>
  <c r="P12" i="1"/>
  <c r="O12" i="1"/>
  <c r="AG12" i="1"/>
  <c r="N12" i="1"/>
  <c r="U12" i="1"/>
  <c r="M12" i="1"/>
  <c r="AD12" i="1"/>
  <c r="L12" i="1"/>
  <c r="V12" i="1"/>
  <c r="J12" i="1"/>
  <c r="Y12" i="1"/>
  <c r="X12" i="1"/>
  <c r="W12" i="1"/>
  <c r="AE12" i="1"/>
  <c r="AF12" i="1"/>
  <c r="AA11" i="1"/>
  <c r="Z11" i="1"/>
  <c r="S11" i="1"/>
  <c r="R11" i="1"/>
  <c r="Q11" i="1"/>
  <c r="P11" i="1"/>
  <c r="O11" i="1"/>
  <c r="AG11" i="1"/>
  <c r="N11" i="1"/>
  <c r="U11" i="1"/>
  <c r="M11" i="1"/>
  <c r="AD11" i="1"/>
  <c r="L11" i="1"/>
  <c r="V11" i="1"/>
  <c r="J11" i="1"/>
  <c r="X11" i="1"/>
  <c r="Y11" i="1"/>
  <c r="W11" i="1"/>
  <c r="AE11" i="1"/>
  <c r="AF11" i="1"/>
  <c r="AA10" i="1"/>
  <c r="Z10" i="1"/>
  <c r="S10" i="1"/>
  <c r="R10" i="1"/>
  <c r="Q10" i="1"/>
  <c r="P10" i="1"/>
  <c r="O10" i="1"/>
  <c r="AG10" i="1"/>
  <c r="N10" i="1"/>
  <c r="U10" i="1"/>
  <c r="M10" i="1"/>
  <c r="AD10" i="1"/>
  <c r="L10" i="1"/>
  <c r="V10" i="1"/>
  <c r="J10" i="1"/>
  <c r="Y10" i="1"/>
  <c r="X10" i="1"/>
  <c r="W10" i="1"/>
  <c r="AF10" i="1"/>
  <c r="AE10" i="1"/>
  <c r="AA9" i="1"/>
  <c r="Z9" i="1"/>
  <c r="S9" i="1"/>
  <c r="R9" i="1"/>
  <c r="Q9" i="1"/>
  <c r="P9" i="1"/>
  <c r="O9" i="1"/>
  <c r="AG9" i="1"/>
  <c r="N9" i="1"/>
  <c r="U9" i="1"/>
  <c r="M9" i="1"/>
  <c r="AD9" i="1"/>
  <c r="L9" i="1"/>
  <c r="V9" i="1"/>
  <c r="J9" i="1"/>
  <c r="Y9" i="1"/>
  <c r="X9" i="1"/>
  <c r="W9" i="1"/>
  <c r="AE9" i="1"/>
  <c r="AF9" i="1"/>
  <c r="AA8" i="1"/>
  <c r="Z8" i="1"/>
  <c r="S8" i="1"/>
  <c r="R8" i="1"/>
  <c r="Q8" i="1"/>
  <c r="P8" i="1"/>
  <c r="O8" i="1"/>
  <c r="AF8" i="1"/>
  <c r="N8" i="1"/>
  <c r="U8" i="1"/>
  <c r="M8" i="1"/>
  <c r="AD8" i="1"/>
  <c r="L8" i="1"/>
  <c r="V8" i="1"/>
  <c r="J8" i="1"/>
  <c r="Y8" i="1"/>
  <c r="X8" i="1"/>
  <c r="W8" i="1"/>
  <c r="AE8" i="1"/>
  <c r="AG8" i="1"/>
  <c r="AA7" i="1"/>
  <c r="Z7" i="1"/>
  <c r="S7" i="1"/>
  <c r="R7" i="1"/>
  <c r="Q7" i="1"/>
  <c r="P7" i="1"/>
  <c r="O7" i="1"/>
  <c r="AG7" i="1"/>
  <c r="N7" i="1"/>
  <c r="U7" i="1"/>
  <c r="M7" i="1"/>
  <c r="AD7" i="1"/>
  <c r="L7" i="1"/>
  <c r="V7" i="1"/>
  <c r="J7" i="1"/>
  <c r="Y7" i="1"/>
  <c r="X7" i="1"/>
  <c r="W7" i="1"/>
  <c r="AE7" i="1"/>
  <c r="AF7" i="1"/>
  <c r="AA6" i="1"/>
  <c r="Z6" i="1"/>
  <c r="S6" i="1"/>
  <c r="R6" i="1"/>
  <c r="Q6" i="1"/>
  <c r="P6" i="1"/>
  <c r="O6" i="1"/>
  <c r="AG6" i="1"/>
  <c r="N6" i="1"/>
  <c r="U6" i="1"/>
  <c r="M6" i="1"/>
  <c r="AD6" i="1"/>
  <c r="L6" i="1"/>
  <c r="V6" i="1"/>
  <c r="J6" i="1"/>
  <c r="Y6" i="1"/>
  <c r="X6" i="1"/>
  <c r="W6" i="1"/>
  <c r="AE6" i="1"/>
  <c r="AF6" i="1"/>
  <c r="AA5" i="1"/>
  <c r="Z5" i="1"/>
  <c r="S5" i="1"/>
  <c r="R5" i="1"/>
  <c r="Q5" i="1"/>
  <c r="P5" i="1"/>
  <c r="O5" i="1"/>
  <c r="AG5" i="1"/>
  <c r="N5" i="1"/>
  <c r="U5" i="1"/>
  <c r="M5" i="1"/>
  <c r="AD5" i="1"/>
  <c r="L5" i="1"/>
  <c r="V5" i="1"/>
  <c r="J5" i="1"/>
  <c r="X5" i="1"/>
  <c r="Y5" i="1"/>
  <c r="W5" i="1"/>
  <c r="AE5" i="1"/>
  <c r="AF5" i="1"/>
  <c r="AA4" i="1"/>
  <c r="Z4" i="1"/>
  <c r="S4" i="1"/>
  <c r="R4" i="1"/>
  <c r="Q4" i="1"/>
  <c r="P4" i="1"/>
  <c r="O4" i="1"/>
  <c r="AG4" i="1"/>
  <c r="N4" i="1"/>
  <c r="U4" i="1"/>
  <c r="M4" i="1"/>
  <c r="AD4" i="1"/>
  <c r="L4" i="1"/>
  <c r="V4" i="1"/>
  <c r="J4" i="1"/>
  <c r="X4" i="1"/>
  <c r="Y4" i="1"/>
  <c r="W4" i="1"/>
  <c r="AE4" i="1"/>
  <c r="AF4" i="1"/>
  <c r="J3" i="1"/>
  <c r="S3" i="1"/>
  <c r="P3" i="1"/>
  <c r="Q3" i="1"/>
  <c r="R3" i="1"/>
  <c r="Z3" i="1"/>
  <c r="AA3" i="1"/>
  <c r="BF1" i="1"/>
  <c r="N3" i="1"/>
  <c r="U3" i="1"/>
  <c r="M3" i="1"/>
  <c r="L3" i="1"/>
  <c r="V3" i="1"/>
  <c r="O3" i="1"/>
  <c r="Y3" i="1"/>
  <c r="W3" i="1"/>
  <c r="X3" i="1"/>
  <c r="AD3" i="1"/>
  <c r="AE3" i="1"/>
  <c r="AF3" i="1"/>
  <c r="AG3" i="1"/>
  <c r="O2" i="1"/>
  <c r="N2" i="1"/>
  <c r="M2" i="1"/>
  <c r="L2" i="1"/>
  <c r="V2" i="1"/>
  <c r="U2" i="1"/>
  <c r="AF2" i="1"/>
  <c r="AE2" i="1"/>
  <c r="AG2" i="1"/>
  <c r="AD2" i="1"/>
  <c r="Y2" i="1"/>
  <c r="X2" i="1"/>
  <c r="W2" i="1"/>
  <c r="P2" i="1"/>
  <c r="Q2" i="1"/>
  <c r="R2" i="1"/>
  <c r="Z2" i="1"/>
  <c r="AA2" i="1"/>
</calcChain>
</file>

<file path=xl/sharedStrings.xml><?xml version="1.0" encoding="utf-8"?>
<sst xmlns="http://schemas.openxmlformats.org/spreadsheetml/2006/main" count="231" uniqueCount="166">
  <si>
    <t>title</t>
  </si>
  <si>
    <t>finish_date</t>
  </si>
  <si>
    <t>contract_date</t>
  </si>
  <si>
    <t>contract_fee</t>
  </si>
  <si>
    <t>title_snd</t>
  </si>
  <si>
    <t>title_forth</t>
  </si>
  <si>
    <t>start_date_snd</t>
  </si>
  <si>
    <t>insert_date</t>
  </si>
  <si>
    <t>title_fifth</t>
  </si>
  <si>
    <t>title_sixth</t>
  </si>
  <si>
    <t>contract_date_snd</t>
    <phoneticPr fontId="2" type="noConversion"/>
  </si>
  <si>
    <t>finish_date_snd</t>
    <phoneticPr fontId="2" type="noConversion"/>
  </si>
  <si>
    <t>contract_fee_snd</t>
    <phoneticPr fontId="2" type="noConversion"/>
  </si>
  <si>
    <t>start_date</t>
    <phoneticPr fontId="2" type="noConversion"/>
  </si>
  <si>
    <t>insert_date_snd</t>
    <phoneticPr fontId="2" type="noConversion"/>
  </si>
  <si>
    <t>title_thrd</t>
    <phoneticPr fontId="2" type="noConversion"/>
  </si>
  <si>
    <t>check_date</t>
    <phoneticPr fontId="2" type="noConversion"/>
  </si>
  <si>
    <t>check_date_1</t>
    <phoneticPr fontId="2" type="noConversion"/>
  </si>
  <si>
    <t>check_date_2</t>
  </si>
  <si>
    <t>check_date_3</t>
  </si>
  <si>
    <t>com</t>
    <phoneticPr fontId="2" type="noConversion"/>
  </si>
  <si>
    <t>착공일</t>
    <phoneticPr fontId="2" type="noConversion"/>
  </si>
  <si>
    <t>준공일</t>
    <phoneticPr fontId="2" type="noConversion"/>
  </si>
  <si>
    <t>계약일</t>
    <phoneticPr fontId="2" type="noConversion"/>
  </si>
  <si>
    <t>검사일</t>
    <phoneticPr fontId="2" type="noConversion"/>
  </si>
  <si>
    <t>서초네이처힐가든 UPS 축전지 교체</t>
    <phoneticPr fontId="2" type="noConversion"/>
  </si>
  <si>
    <t>고구려전력</t>
    <phoneticPr fontId="2" type="noConversion"/>
  </si>
  <si>
    <t>서초네이처힐가든 소방펌프 릴리프밸브 교체</t>
    <phoneticPr fontId="2" type="noConversion"/>
  </si>
  <si>
    <t>대한방재</t>
    <phoneticPr fontId="2" type="noConversion"/>
  </si>
  <si>
    <t>계약금액</t>
    <phoneticPr fontId="2" type="noConversion"/>
  </si>
  <si>
    <t>address</t>
    <phoneticPr fontId="2" type="noConversion"/>
  </si>
  <si>
    <t>서초네이처힐5단지 501-501 퇴거세대 시설물 복구</t>
  </si>
  <si>
    <t>주식회사 그리다시스템</t>
  </si>
  <si>
    <t>서초네이처힐5단지 501동 501호</t>
  </si>
  <si>
    <t>서초네이처힐5단지 505동 지하수관로 맨홀 보수공사</t>
  </si>
  <si>
    <t>가나설비</t>
  </si>
  <si>
    <t>서초구 태봉로 2길 5</t>
  </si>
  <si>
    <t>서초네이처힐5단지 승강기 503동3호기 쉬브,로프 외 교체공사</t>
  </si>
  <si>
    <t>현대엘리베이터서비스 주식회사</t>
  </si>
  <si>
    <t>서울시 서초구 태봉로2길 5</t>
  </si>
  <si>
    <t>서초네이처힐5단지 승강기 바닥재 교체공사</t>
  </si>
  <si>
    <t>우주아이디</t>
  </si>
  <si>
    <t>서초네이처힐가든 106동 옥상 태양광 발전설비 보수</t>
  </si>
  <si>
    <t>제이엔디</t>
  </si>
  <si>
    <t>서울시 서초구 형촌길60</t>
  </si>
  <si>
    <t>서초네이처힐5단지 정문 주차차단기 루프코일 교체</t>
  </si>
  <si>
    <t>다래파크텍</t>
  </si>
  <si>
    <t>서초네이처힐5단지 501동 302호 퇴거세대 온돌마루 교체공사</t>
  </si>
  <si>
    <t>양재리본타워1단지 TV공청 장비 교체</t>
  </si>
  <si>
    <t>주식회사 키텔</t>
  </si>
  <si>
    <t>서울시 서초구 바우뫼로18길 20</t>
  </si>
  <si>
    <t>서초네이처힐가든 및 양재리본타워1단지 지하 배수펌프 교체공사</t>
  </si>
  <si>
    <t>대영파워펌프</t>
  </si>
  <si>
    <t>서울시 서초구 형촌길 60 외</t>
  </si>
  <si>
    <t>양재리본타워1단지 외 발코니 PL 창호 보수</t>
  </si>
  <si>
    <t>림디자인</t>
  </si>
  <si>
    <t xml:space="preserve">서초네이처힐5단지 504-204 개별보일러 교체 </t>
  </si>
  <si>
    <t>대봉배관산업</t>
  </si>
  <si>
    <t>서울시 태봉로2길 5</t>
  </si>
  <si>
    <t>서초네이처힐5단지 507동 1/3라인 통신실 홈네트워크 중계기 교체</t>
  </si>
  <si>
    <t>삼성SDS</t>
  </si>
  <si>
    <t>서초네이처힐가든 101동 옥상 방수 공사</t>
  </si>
  <si>
    <t>세다건설주식회사</t>
  </si>
  <si>
    <t>서초네이처힐5단지 501-1101 외 옥상 방수 공사</t>
  </si>
  <si>
    <t>주식회사 엔유</t>
  </si>
  <si>
    <t>서초네이처힐5단지 관리실 시스템 에어컨 보수</t>
  </si>
  <si>
    <t>하이엠솔루텍주식회사</t>
  </si>
  <si>
    <t>방배SH빌 기계실 체크밸브 교체</t>
  </si>
  <si>
    <t>서울시 서초구 과천대로908</t>
  </si>
  <si>
    <t>방배SH빌 급수 제어시스템 보수</t>
  </si>
  <si>
    <t>투라인레벨</t>
  </si>
  <si>
    <t>서초구 과천대로 908</t>
  </si>
  <si>
    <t>양재리본타워2단지 후문 경비실 에어컨 교체</t>
  </si>
  <si>
    <t>한국전자</t>
  </si>
  <si>
    <t>서울시 서초구 매헌로16길 20</t>
  </si>
  <si>
    <t>양재리본타워1단지 승강기 102동3호기 시브,로프 교체</t>
  </si>
  <si>
    <t>티케이엘리베이터코리아(주)강남1</t>
  </si>
  <si>
    <t xml:space="preserve">양재리본타워2단지 정화조 오배수펌프 교체 </t>
  </si>
  <si>
    <t>천수인테리어</t>
  </si>
  <si>
    <t>서울시 서초구 매헌로16길 40</t>
  </si>
  <si>
    <t>양재리본타워2단지 승강기 202동1호기 카내 부품 교체</t>
  </si>
  <si>
    <t>양재리본타워1단지 102-702외 7건 스프링클러 등 동배관 보수</t>
  </si>
  <si>
    <t>화신엔지니어링(주)</t>
  </si>
  <si>
    <t>서울시 서초구</t>
  </si>
  <si>
    <t>양재리본타워2단지 2021년도 소방지적사항 보수</t>
  </si>
  <si>
    <t>대한방재</t>
  </si>
  <si>
    <t>서울시 서초구 매헌로16깅 40</t>
  </si>
  <si>
    <t>양재리본타워1단지 기계실 급수용 팽창탱크 교체</t>
  </si>
  <si>
    <t>서초네이처힐5단지 501-1403 화재세대 보수공사(에어컨 배관)</t>
  </si>
  <si>
    <t>화신엔지니어링 주식회사</t>
  </si>
  <si>
    <t>서울시 서초구 태봉로 2길 5</t>
  </si>
  <si>
    <t xml:space="preserve">서초네이처힐가든 105-301 욕실 환풍기 및 보일러 콘센트 누전 보수 </t>
  </si>
  <si>
    <t>정수기능전기</t>
  </si>
  <si>
    <t>서초네이처힐5단지 승강기 502동1호기 메인인버터 교체공사</t>
  </si>
  <si>
    <t xml:space="preserve">서초네이처힐5단지 관리소 MDF실 에어컨 보수 </t>
  </si>
  <si>
    <t xml:space="preserve">내곡SH플라자 전기 소방시설 보수공사 </t>
  </si>
  <si>
    <t>서초구 청계산로9길 70</t>
  </si>
  <si>
    <t>서초네이처힐5단지 501-1403 화재세대 외벽 도장 공사</t>
  </si>
  <si>
    <t>양재리본타워1단지 101동 2호기 승강기 CCTV 선로 교체 공사</t>
  </si>
  <si>
    <t>씨씨티브이공사넷</t>
  </si>
  <si>
    <t>방배SH빌 2021년도 소방지적사항 보수</t>
  </si>
  <si>
    <t>서울시 서초구 과천대로 908</t>
  </si>
  <si>
    <t>방배SH빌 옥외 보안등 보수</t>
  </si>
  <si>
    <t>이엠아이하이테크</t>
  </si>
  <si>
    <t>방배SH빌 지하주차장 램프 누수 보수공사</t>
  </si>
  <si>
    <t>(주)미화</t>
  </si>
  <si>
    <t>서초네이처힐5단지 외 퇴거세대 바닥재 복구</t>
  </si>
  <si>
    <t>성남만수샷시유리</t>
  </si>
  <si>
    <t>양재리본타워1단지 승강기 101동1호기 카운터 쉬브 교체</t>
  </si>
  <si>
    <t>티케이엘리베이터코리아(주)</t>
  </si>
  <si>
    <t>서울시 서초구 바우뫼로 18길 20</t>
  </si>
  <si>
    <t>서초네이처힐5단지 504-807 개별보일러 교체</t>
  </si>
  <si>
    <t>네이처힐가든 승강기 비상통화장치(모기) 교체</t>
  </si>
  <si>
    <t>서울시 서초구 형촌길 60</t>
  </si>
  <si>
    <t>네이처힐가든 소방지적사항 보수공사</t>
  </si>
  <si>
    <t xml:space="preserve">서울시 서초구 태봉로2길 5 </t>
  </si>
  <si>
    <t>서초네이처힐5단지 501-904 개별보일러 교체</t>
    <phoneticPr fontId="2" type="noConversion"/>
  </si>
  <si>
    <t>중앙이엔에스</t>
  </si>
  <si>
    <t>양재리본타워1단지 변압기 온도계 교체</t>
    <phoneticPr fontId="2" type="noConversion"/>
  </si>
  <si>
    <t>양재리본타워1단지 주차차단기 RF리더기 교체</t>
  </si>
  <si>
    <t>(주)유티스</t>
  </si>
  <si>
    <t>서초네이처힐5단지 508-1201 개별보일러 교체</t>
  </si>
  <si>
    <t>양재리본타워1단지 102-2003 개별보일러 교체</t>
  </si>
  <si>
    <t>귀뚜라미보일러서초대리점성민열기</t>
  </si>
  <si>
    <t>양재리본타워2단지 승강기 203동1호기 제어기판(CPUA) 교체</t>
  </si>
  <si>
    <t>네이처힐가든 경로당 개별보일러 교체</t>
  </si>
  <si>
    <t>2021년도 서초네이처힐5단지 소방지적사항 보수공사</t>
  </si>
  <si>
    <t>양재리본타워2단지 승강기 203-3 주로프 및 세컨시브 교체공사</t>
  </si>
  <si>
    <t>서초네이처힐5단지 508-102 개별보일러 교체</t>
  </si>
  <si>
    <t>네이처힐가든 116-402 개별보일러 교체</t>
  </si>
  <si>
    <t>서초포레스타 204동 301호 외 11세대 입주예정세대 시설물 보수공사</t>
  </si>
  <si>
    <t>효상건설 주식회사</t>
  </si>
  <si>
    <t>서울시 서초구 형촌길60 외</t>
  </si>
  <si>
    <t>양재리본타워1단지 승강기 101 및 102동 가바나 교체공사</t>
  </si>
  <si>
    <t>서울시서초구 바우뫼로18길 20</t>
  </si>
  <si>
    <t>양재리본타워2단지 승강기 203-2 주로프 교체공사</t>
  </si>
  <si>
    <t>서초네이처힐5단지 스프링클러 공기압축기 교체</t>
  </si>
  <si>
    <t>동일공구백화점</t>
  </si>
  <si>
    <t>네이처힐가든 소방작동기능점검 지적사항 보수</t>
  </si>
  <si>
    <t>서초네이처힐5단지 승강기 502-1 비상통화장치 등 교체</t>
  </si>
  <si>
    <t>현대엘리베이터서비스</t>
  </si>
  <si>
    <t>양재리본타워1단지 주민공동시설 소방시설 보수</t>
  </si>
  <si>
    <t>서초네이처힐가든 106동 202호 외 입주예정 8세대 시설물 보수공사</t>
  </si>
  <si>
    <t>태화건설(주)</t>
  </si>
  <si>
    <t>서초네이처힐가든 107-301 외 입주예정 17세대 보수공사</t>
  </si>
  <si>
    <t>연우이앤씨 주식회사</t>
  </si>
  <si>
    <t xml:space="preserve">서울시 서초구 </t>
  </si>
  <si>
    <t>양재리본타워1단지 비상발전기 축전지 교체</t>
  </si>
  <si>
    <t>㈜중앙이엔에스</t>
  </si>
  <si>
    <t>서초네이처힐가든 110-201 외 입주 17세대 시설물 보수공사</t>
  </si>
  <si>
    <t>(주)예인건설산업</t>
  </si>
  <si>
    <t>서초네이처힐5단지 505동 1002호 외 10세대 입주세대 시설물 보수공사</t>
  </si>
  <si>
    <t>새일꾼이엔지 주식회사</t>
  </si>
  <si>
    <t>서울특별시 강북구 노해로33다길 3-0 (수유동)</t>
  </si>
  <si>
    <t>양재리본타워1단지 승강기 101동1호기 IOC기판 외 교체</t>
  </si>
  <si>
    <t>지불금액</t>
    <phoneticPr fontId="2" type="noConversion"/>
  </si>
  <si>
    <t>서초네이처힐5단지 후문 경비실 에어컨 보수</t>
    <phoneticPr fontId="2" type="noConversion"/>
  </si>
  <si>
    <t>가나설비</t>
    <phoneticPr fontId="2" type="noConversion"/>
  </si>
  <si>
    <t>finish_date_third</t>
    <phoneticPr fontId="2" type="noConversion"/>
  </si>
  <si>
    <t>contract_fee_out</t>
    <phoneticPr fontId="2" type="noConversion"/>
  </si>
  <si>
    <t>contract_fee_out_1</t>
    <phoneticPr fontId="2" type="noConversion"/>
  </si>
  <si>
    <t>contract_fee_end</t>
    <phoneticPr fontId="2" type="noConversion"/>
  </si>
  <si>
    <t>contract_fee_end_1</t>
    <phoneticPr fontId="2" type="noConversion"/>
  </si>
  <si>
    <t>엘에스일렉트릭(주)</t>
  </si>
  <si>
    <t>엘에스일렉트릭(주)</t>
    <phoneticPr fontId="2" type="noConversion"/>
  </si>
  <si>
    <t>양재리본타워2단지 변전실 디지털전력보호감시장치(GIPAM2200) 보수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</si>
</sst>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yyyy&quot;년&quot;\ m&quot;월&quot;\ d&quot;일&quot;;@"/>
  </numFmts>
  <fonts count="11">
    <font>
      <sz val="11"/>
      <color theme="1"/>
      <name val="맑은 고딕"/>
      <family val="2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 tint="0.1499984740745262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2" xfId="0" applyFont="1" applyFill="1" applyBorder="1" applyAlignment="1">
      <alignment horizontal="justify" vertical="center" wrapText="1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49" fontId="0" fillId="0" borderId="0" xfId="0" applyNumberFormat="1" applyFill="1" applyBorder="1">
      <alignment vertical="center"/>
    </xf>
    <xf numFmtId="0" fontId="0" fillId="0" borderId="0" xfId="0" applyNumberFormat="1">
      <alignment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41" fontId="7" fillId="0" borderId="0" xfId="1" applyFont="1">
      <alignment vertical="center"/>
    </xf>
    <xf numFmtId="14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right" vertical="center"/>
    </xf>
    <xf numFmtId="14" fontId="7" fillId="0" borderId="0" xfId="0" applyNumberFormat="1" applyFont="1">
      <alignment vertical="center"/>
    </xf>
    <xf numFmtId="0" fontId="8" fillId="3" borderId="2" xfId="0" applyFont="1" applyFill="1" applyBorder="1" applyAlignment="1">
      <alignment horizontal="justify" vertical="center" wrapText="1"/>
    </xf>
    <xf numFmtId="176" fontId="1" fillId="3" borderId="2" xfId="0" applyNumberFormat="1" applyFont="1" applyFill="1" applyBorder="1" applyAlignment="1">
      <alignment horizontal="justify" vertical="center" wrapText="1"/>
    </xf>
    <xf numFmtId="41" fontId="9" fillId="0" borderId="2" xfId="1" applyFont="1" applyFill="1" applyBorder="1" applyAlignment="1">
      <alignment horizontal="right" vertical="center" wrapText="1"/>
    </xf>
    <xf numFmtId="41" fontId="5" fillId="0" borderId="0" xfId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41" fontId="5" fillId="0" borderId="0" xfId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6" fontId="10" fillId="3" borderId="2" xfId="0" applyNumberFormat="1" applyFont="1" applyFill="1" applyBorder="1" applyAlignment="1">
      <alignment horizontal="justify" vertical="center" wrapText="1"/>
    </xf>
    <xf numFmtId="0" fontId="10" fillId="0" borderId="2" xfId="0" applyFont="1" applyFill="1" applyBorder="1" applyAlignment="1">
      <alignment horizontal="justify" vertical="center" wrapText="1"/>
    </xf>
    <xf numFmtId="41" fontId="10" fillId="3" borderId="2" xfId="1" applyFont="1" applyFill="1" applyBorder="1" applyAlignment="1">
      <alignment horizontal="justify" vertical="center" wrapText="1"/>
    </xf>
    <xf numFmtId="0" fontId="10" fillId="2" borderId="1" xfId="0" applyFont="1" applyFill="1" applyBorder="1" applyAlignment="1">
      <alignment horizontal="justify" vertical="center" wrapText="1"/>
    </xf>
    <xf numFmtId="41" fontId="5" fillId="0" borderId="2" xfId="1" applyFont="1" applyFill="1" applyBorder="1" applyAlignment="1">
      <alignment horizontal="left" vertical="center" wrapText="1"/>
    </xf>
    <xf numFmtId="0" fontId="10" fillId="0" borderId="3" xfId="0" applyFont="1" applyFill="1" applyBorder="1" applyAlignment="1">
      <alignment horizontal="justify" vertical="center" wrapText="1"/>
    </xf>
    <xf numFmtId="0" fontId="10" fillId="0" borderId="0" xfId="0" applyFont="1" applyFill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2575560</xdr:colOff>
          <xdr:row>0</xdr:row>
          <xdr:rowOff>0</xdr:rowOff>
        </xdr:from>
        <xdr:to>
          <xdr:col>0</xdr:col>
          <xdr:colOff>3970020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69"/>
  <sheetViews>
    <sheetView tabSelected="1" workbookViewId="0">
      <pane xSplit="1" ySplit="1" topLeftCell="D51" activePane="bottomRight" state="frozen"/>
      <selection pane="topRight" activeCell="B1" sqref="B1"/>
      <selection pane="bottomLeft" activeCell="A2" sqref="A2"/>
      <selection pane="bottomRight"/>
    </sheetView>
  </sheetViews>
  <sheetFormatPr defaultRowHeight="17.399999999999999"/>
  <cols>
    <col min="1" max="1" width="53.59765625" style="7" customWidth="1"/>
    <col min="2" max="2" width="26.19921875" style="7" customWidth="1"/>
    <col min="3" max="3" width="12.69921875" style="10" customWidth="1"/>
    <col min="4" max="4" width="13.09765625" style="10" customWidth="1"/>
    <col min="5" max="5" width="13.59765625" style="10" customWidth="1"/>
    <col min="6" max="6" width="13.09765625" style="10" customWidth="1"/>
    <col min="7" max="8" width="13.09765625" style="17" customWidth="1"/>
    <col min="9" max="9" width="17.69921875" style="21" customWidth="1"/>
    <col min="10" max="10" width="16.5" style="8" customWidth="1"/>
    <col min="11" max="11" width="20.19921875" style="8" customWidth="1"/>
    <col min="12" max="12" width="16.796875" customWidth="1"/>
    <col min="13" max="14" width="16.796875" style="4" customWidth="1"/>
    <col min="15" max="18" width="16.796875" customWidth="1"/>
    <col min="19" max="19" width="21.5" customWidth="1"/>
    <col min="20" max="20" width="50.796875" bestFit="1" customWidth="1"/>
    <col min="21" max="27" width="16.796875" customWidth="1"/>
    <col min="28" max="28" width="20.19921875" customWidth="1"/>
    <col min="29" max="29" width="19.296875" customWidth="1"/>
    <col min="30" max="33" width="16.796875" customWidth="1"/>
    <col min="34" max="34" width="6.69921875" customWidth="1"/>
  </cols>
  <sheetData>
    <row r="1" spans="1:58" ht="23.4" customHeight="1">
      <c r="A1" s="25" t="s">
        <v>0</v>
      </c>
      <c r="B1" s="13" t="s">
        <v>20</v>
      </c>
      <c r="C1" s="12" t="s">
        <v>21</v>
      </c>
      <c r="D1" s="12" t="s">
        <v>22</v>
      </c>
      <c r="E1" s="12" t="s">
        <v>23</v>
      </c>
      <c r="F1" s="12" t="s">
        <v>24</v>
      </c>
      <c r="G1" s="15" t="s">
        <v>29</v>
      </c>
      <c r="H1" s="15" t="s">
        <v>155</v>
      </c>
      <c r="I1" s="26" t="s">
        <v>30</v>
      </c>
      <c r="J1" s="24" t="s">
        <v>3</v>
      </c>
      <c r="K1" s="24" t="s">
        <v>162</v>
      </c>
      <c r="L1" s="22" t="s">
        <v>13</v>
      </c>
      <c r="M1" s="22" t="s">
        <v>1</v>
      </c>
      <c r="N1" s="22" t="s">
        <v>2</v>
      </c>
      <c r="O1" s="14" t="s">
        <v>16</v>
      </c>
      <c r="P1" s="23" t="s">
        <v>4</v>
      </c>
      <c r="Q1" s="2" t="s">
        <v>15</v>
      </c>
      <c r="R1" s="23" t="s">
        <v>5</v>
      </c>
      <c r="S1" s="23" t="s">
        <v>12</v>
      </c>
      <c r="T1" s="23" t="s">
        <v>161</v>
      </c>
      <c r="U1" s="23" t="s">
        <v>10</v>
      </c>
      <c r="V1" s="23" t="s">
        <v>6</v>
      </c>
      <c r="W1" s="23" t="s">
        <v>11</v>
      </c>
      <c r="X1" s="23" t="s">
        <v>158</v>
      </c>
      <c r="Y1" s="27" t="s">
        <v>7</v>
      </c>
      <c r="Z1" s="28" t="s">
        <v>8</v>
      </c>
      <c r="AA1" s="28" t="s">
        <v>9</v>
      </c>
      <c r="AB1" s="28" t="s">
        <v>159</v>
      </c>
      <c r="AC1" s="28" t="s">
        <v>160</v>
      </c>
      <c r="AD1" s="3" t="s">
        <v>14</v>
      </c>
      <c r="AE1" t="s">
        <v>17</v>
      </c>
      <c r="AF1" t="s">
        <v>18</v>
      </c>
      <c r="AG1" t="s">
        <v>19</v>
      </c>
      <c r="AZ1" t="str">
        <f>IFERROR(INDEX(I:I,MATCH($BA$1,B:B,0)),"")</f>
        <v>서울시 서초구 매헌로16길 40</v>
      </c>
      <c r="BA1" t="s">
        <v>164</v>
      </c>
      <c r="BB1" s="19" t="str">
        <f>IFERROR(INDEX(I:I,MATCH($BC$1,B:B,0)),"")</f>
        <v>서초구 태봉로 2길 5</v>
      </c>
      <c r="BC1" s="18" t="s">
        <v>157</v>
      </c>
      <c r="BF1">
        <f>COUNTIF($A:$A,"&lt;&gt;")</f>
        <v>68</v>
      </c>
    </row>
    <row r="2" spans="1:58">
      <c r="A2" s="7" t="s">
        <v>25</v>
      </c>
      <c r="B2" s="7" t="s">
        <v>26</v>
      </c>
      <c r="C2" s="11">
        <v>44274</v>
      </c>
      <c r="D2" s="10">
        <v>44274</v>
      </c>
      <c r="E2" s="10">
        <v>44274</v>
      </c>
      <c r="F2" s="10">
        <v>44270</v>
      </c>
      <c r="G2" s="16">
        <v>649000</v>
      </c>
      <c r="H2" s="16"/>
      <c r="I2" s="20"/>
      <c r="J2" s="9" t="str">
        <f t="shared" ref="J2:J33" si="0">"금"&amp;TEXT( G2,"#,###") &amp;"원"&amp;"(금"&amp; NUMBERSTRING(G2,1) &amp; "원)"</f>
        <v>금649,000원(금육십사만구천원)</v>
      </c>
      <c r="K2" s="8">
        <f t="shared" ref="K2:K65" si="1">T2</f>
        <v>0</v>
      </c>
      <c r="L2" t="str">
        <f t="shared" ref="L2:L33" si="2">TEXT(C2,"yyyy년 mm월 dd일")</f>
        <v>2021년 03월 19일</v>
      </c>
      <c r="M2" t="str">
        <f t="shared" ref="M2:M33" si="3">TEXT(D2,"yyyy년 mm월 dd일")</f>
        <v>2021년 03월 19일</v>
      </c>
      <c r="N2" t="str">
        <f t="shared" ref="N2:N33" si="4">TEXT(E2,"yyyy년 mm월 dd일")</f>
        <v>2021년 03월 19일</v>
      </c>
      <c r="O2" t="str">
        <f t="shared" ref="O2:O33" si="5">TEXT(F2,"yyyy년 mm월 dd일")</f>
        <v>2021년 03월 15일</v>
      </c>
      <c r="P2" s="1" t="str">
        <f t="shared" ref="P2:P33" si="6">A2</f>
        <v>서초네이처힐가든 UPS 축전지 교체</v>
      </c>
      <c r="Q2" s="1" t="str">
        <f t="shared" ref="Q2:Q33" si="7">A2</f>
        <v>서초네이처힐가든 UPS 축전지 교체</v>
      </c>
      <c r="R2" s="1" t="str">
        <f t="shared" ref="R2:R33" si="8">A2</f>
        <v>서초네이처힐가든 UPS 축전지 교체</v>
      </c>
      <c r="S2" s="6" t="str">
        <f t="shared" ref="S2:S33" si="9">"금"&amp;TEXT( G2,"#,###") &amp;"원"&amp;"(금"&amp; NUMBERSTRING(G2,1) &amp; "원)"</f>
        <v>금649,000원(금육십사만구천원)</v>
      </c>
      <c r="T2" s="6"/>
      <c r="U2" s="4" t="str">
        <f t="shared" ref="U2:U7" si="10">N2</f>
        <v>2021년 03월 19일</v>
      </c>
      <c r="V2" s="6" t="str">
        <f t="shared" ref="V2:W4" si="11">L2</f>
        <v>2021년 03월 19일</v>
      </c>
      <c r="W2" s="6" t="str">
        <f t="shared" si="11"/>
        <v>2021년 03월 19일</v>
      </c>
      <c r="X2" s="6" t="str">
        <f t="shared" ref="X2:X7" si="12">M2</f>
        <v>2021년 03월 19일</v>
      </c>
      <c r="Y2" t="str">
        <f t="shared" ref="Y2:Y7" si="13">M2</f>
        <v>2021년 03월 19일</v>
      </c>
      <c r="Z2" s="5" t="str">
        <f t="shared" ref="Z2:Z33" si="14">A2</f>
        <v>서초네이처힐가든 UPS 축전지 교체</v>
      </c>
      <c r="AA2" s="1" t="str">
        <f t="shared" ref="AA2:AA33" si="15">A2</f>
        <v>서초네이처힐가든 UPS 축전지 교체</v>
      </c>
      <c r="AB2" t="str">
        <f t="shared" ref="AB2:AB65" si="16">"금"&amp;TEXT( H2,"#,###") &amp;"원"&amp;"(금"&amp; NUMBERSTRING(H2,1) &amp; "원)"</f>
        <v>금원(금영원)</v>
      </c>
      <c r="AC2" t="str">
        <f t="shared" ref="AC2:AC65" si="17">AB2</f>
        <v>금원(금영원)</v>
      </c>
      <c r="AD2" s="1" t="str">
        <f t="shared" ref="AD2:AD7" si="18">M2</f>
        <v>2021년 03월 19일</v>
      </c>
      <c r="AE2" t="str">
        <f t="shared" ref="AE2" si="19">O2</f>
        <v>2021년 03월 15일</v>
      </c>
      <c r="AF2" s="1" t="str">
        <f t="shared" ref="AF2" si="20">O2</f>
        <v>2021년 03월 15일</v>
      </c>
      <c r="AG2" s="1" t="str">
        <f>O2</f>
        <v>2021년 03월 15일</v>
      </c>
      <c r="AH2">
        <v>1</v>
      </c>
    </row>
    <row r="3" spans="1:58">
      <c r="A3" s="7" t="s">
        <v>27</v>
      </c>
      <c r="B3" s="7" t="s">
        <v>28</v>
      </c>
      <c r="C3" s="10">
        <v>44279</v>
      </c>
      <c r="D3" s="10">
        <v>44279</v>
      </c>
      <c r="E3" s="10">
        <v>44279</v>
      </c>
      <c r="F3" s="10">
        <v>44280</v>
      </c>
      <c r="G3" s="16">
        <v>231000</v>
      </c>
      <c r="H3" s="16"/>
      <c r="I3" s="20"/>
      <c r="J3" s="9" t="str">
        <f t="shared" si="0"/>
        <v>금231,000원(금이십삼만일천원)</v>
      </c>
      <c r="K3" s="8">
        <f t="shared" si="1"/>
        <v>0</v>
      </c>
      <c r="L3" t="str">
        <f t="shared" si="2"/>
        <v>2021년 03월 24일</v>
      </c>
      <c r="M3" t="str">
        <f t="shared" si="3"/>
        <v>2021년 03월 24일</v>
      </c>
      <c r="N3" t="str">
        <f t="shared" si="4"/>
        <v>2021년 03월 24일</v>
      </c>
      <c r="O3" t="str">
        <f t="shared" si="5"/>
        <v>2021년 03월 25일</v>
      </c>
      <c r="P3" s="1" t="str">
        <f t="shared" si="6"/>
        <v>서초네이처힐가든 소방펌프 릴리프밸브 교체</v>
      </c>
      <c r="Q3" s="1" t="str">
        <f t="shared" si="7"/>
        <v>서초네이처힐가든 소방펌프 릴리프밸브 교체</v>
      </c>
      <c r="R3" s="1" t="str">
        <f t="shared" si="8"/>
        <v>서초네이처힐가든 소방펌프 릴리프밸브 교체</v>
      </c>
      <c r="S3" s="6" t="str">
        <f t="shared" si="9"/>
        <v>금231,000원(금이십삼만일천원)</v>
      </c>
      <c r="T3" s="6"/>
      <c r="U3" s="4" t="str">
        <f t="shared" si="10"/>
        <v>2021년 03월 24일</v>
      </c>
      <c r="V3" s="6" t="str">
        <f t="shared" si="11"/>
        <v>2021년 03월 24일</v>
      </c>
      <c r="W3" s="6" t="str">
        <f t="shared" si="11"/>
        <v>2021년 03월 24일</v>
      </c>
      <c r="X3" s="6" t="str">
        <f t="shared" si="12"/>
        <v>2021년 03월 24일</v>
      </c>
      <c r="Y3" t="str">
        <f t="shared" si="13"/>
        <v>2021년 03월 24일</v>
      </c>
      <c r="Z3" s="5" t="str">
        <f t="shared" si="14"/>
        <v>서초네이처힐가든 소방펌프 릴리프밸브 교체</v>
      </c>
      <c r="AA3" s="1" t="str">
        <f t="shared" si="15"/>
        <v>서초네이처힐가든 소방펌프 릴리프밸브 교체</v>
      </c>
      <c r="AB3" t="str">
        <f t="shared" si="16"/>
        <v>금원(금영원)</v>
      </c>
      <c r="AC3" t="str">
        <f t="shared" si="17"/>
        <v>금원(금영원)</v>
      </c>
      <c r="AD3" s="1" t="str">
        <f t="shared" si="18"/>
        <v>2021년 03월 24일</v>
      </c>
      <c r="AE3" t="str">
        <f t="shared" ref="AE3" si="21">O3</f>
        <v>2021년 03월 25일</v>
      </c>
      <c r="AF3" s="1" t="str">
        <f t="shared" ref="AF3" si="22">O3</f>
        <v>2021년 03월 25일</v>
      </c>
      <c r="AG3" s="1" t="str">
        <f t="shared" ref="AG3" si="23">O3</f>
        <v>2021년 03월 25일</v>
      </c>
      <c r="AH3">
        <f t="shared" ref="AH3:AH8" si="24">AH2+1</f>
        <v>2</v>
      </c>
    </row>
    <row r="4" spans="1:58">
      <c r="A4" s="7" t="s">
        <v>31</v>
      </c>
      <c r="B4" s="7" t="s">
        <v>32</v>
      </c>
      <c r="C4" s="10">
        <v>44298</v>
      </c>
      <c r="D4" s="10">
        <v>44302</v>
      </c>
      <c r="E4" s="10">
        <v>44298</v>
      </c>
      <c r="F4" s="10">
        <v>44307</v>
      </c>
      <c r="G4" s="17">
        <v>3069000</v>
      </c>
      <c r="I4" s="21" t="s">
        <v>33</v>
      </c>
      <c r="J4" t="str">
        <f t="shared" si="0"/>
        <v>금3,069,000원(금삼백육만구천원)</v>
      </c>
      <c r="K4" s="8">
        <f t="shared" si="1"/>
        <v>0</v>
      </c>
      <c r="L4" t="str">
        <f t="shared" si="2"/>
        <v>2021년 04월 12일</v>
      </c>
      <c r="M4" t="str">
        <f t="shared" si="3"/>
        <v>2021년 04월 16일</v>
      </c>
      <c r="N4" t="str">
        <f t="shared" si="4"/>
        <v>2021년 04월 12일</v>
      </c>
      <c r="O4" t="str">
        <f t="shared" si="5"/>
        <v>2021년 04월 21일</v>
      </c>
      <c r="P4" t="str">
        <f t="shared" si="6"/>
        <v>서초네이처힐5단지 501-501 퇴거세대 시설물 복구</v>
      </c>
      <c r="Q4" t="str">
        <f t="shared" si="7"/>
        <v>서초네이처힐5단지 501-501 퇴거세대 시설물 복구</v>
      </c>
      <c r="R4" t="str">
        <f t="shared" si="8"/>
        <v>서초네이처힐5단지 501-501 퇴거세대 시설물 복구</v>
      </c>
      <c r="S4" t="str">
        <f t="shared" si="9"/>
        <v>금3,069,000원(금삼백육만구천원)</v>
      </c>
      <c r="U4" t="str">
        <f t="shared" si="10"/>
        <v>2021년 04월 12일</v>
      </c>
      <c r="V4" t="str">
        <f t="shared" si="11"/>
        <v>2021년 04월 12일</v>
      </c>
      <c r="W4" t="str">
        <f t="shared" si="11"/>
        <v>2021년 04월 16일</v>
      </c>
      <c r="X4" t="str">
        <f t="shared" si="12"/>
        <v>2021년 04월 16일</v>
      </c>
      <c r="Y4" t="str">
        <f t="shared" si="13"/>
        <v>2021년 04월 16일</v>
      </c>
      <c r="Z4" t="str">
        <f t="shared" si="14"/>
        <v>서초네이처힐5단지 501-501 퇴거세대 시설물 복구</v>
      </c>
      <c r="AA4" t="str">
        <f t="shared" si="15"/>
        <v>서초네이처힐5단지 501-501 퇴거세대 시설물 복구</v>
      </c>
      <c r="AB4" t="str">
        <f t="shared" si="16"/>
        <v>금원(금영원)</v>
      </c>
      <c r="AC4" t="str">
        <f t="shared" si="17"/>
        <v>금원(금영원)</v>
      </c>
      <c r="AD4" t="str">
        <f t="shared" si="18"/>
        <v>2021년 04월 16일</v>
      </c>
      <c r="AE4" t="str">
        <f t="shared" ref="AE4" si="25">O4</f>
        <v>2021년 04월 21일</v>
      </c>
      <c r="AF4" t="str">
        <f t="shared" ref="AF4" si="26">O4</f>
        <v>2021년 04월 21일</v>
      </c>
      <c r="AG4" t="str">
        <f t="shared" ref="AG4" si="27">O4</f>
        <v>2021년 04월 21일</v>
      </c>
      <c r="AH4">
        <f t="shared" si="24"/>
        <v>3</v>
      </c>
    </row>
    <row r="5" spans="1:58">
      <c r="A5" s="7" t="s">
        <v>34</v>
      </c>
      <c r="B5" s="7" t="s">
        <v>35</v>
      </c>
      <c r="C5" s="10">
        <v>44308</v>
      </c>
      <c r="D5" s="10">
        <v>44308</v>
      </c>
      <c r="E5" s="10">
        <v>44308</v>
      </c>
      <c r="F5" s="10">
        <v>44309</v>
      </c>
      <c r="G5" s="17">
        <v>1100000</v>
      </c>
      <c r="I5" s="21" t="s">
        <v>36</v>
      </c>
      <c r="J5" s="8" t="str">
        <f t="shared" si="0"/>
        <v>금1,100,000원(금일백일십만원)</v>
      </c>
      <c r="K5" s="8">
        <f t="shared" si="1"/>
        <v>0</v>
      </c>
      <c r="L5" t="str">
        <f t="shared" si="2"/>
        <v>2021년 04월 22일</v>
      </c>
      <c r="M5" s="4" t="str">
        <f t="shared" si="3"/>
        <v>2021년 04월 22일</v>
      </c>
      <c r="N5" s="4" t="str">
        <f t="shared" si="4"/>
        <v>2021년 04월 22일</v>
      </c>
      <c r="O5" t="str">
        <f t="shared" si="5"/>
        <v>2021년 04월 23일</v>
      </c>
      <c r="P5" t="str">
        <f t="shared" si="6"/>
        <v>서초네이처힐5단지 505동 지하수관로 맨홀 보수공사</v>
      </c>
      <c r="Q5" t="str">
        <f t="shared" si="7"/>
        <v>서초네이처힐5단지 505동 지하수관로 맨홀 보수공사</v>
      </c>
      <c r="R5" t="str">
        <f t="shared" si="8"/>
        <v>서초네이처힐5단지 505동 지하수관로 맨홀 보수공사</v>
      </c>
      <c r="S5" t="str">
        <f t="shared" si="9"/>
        <v>금1,100,000원(금일백일십만원)</v>
      </c>
      <c r="U5" s="4" t="str">
        <f t="shared" si="10"/>
        <v>2021년 04월 22일</v>
      </c>
      <c r="V5" t="str">
        <f t="shared" ref="V5" si="28">L5</f>
        <v>2021년 04월 22일</v>
      </c>
      <c r="W5" t="str">
        <f t="shared" ref="W5" si="29">M5</f>
        <v>2021년 04월 22일</v>
      </c>
      <c r="X5" t="str">
        <f t="shared" si="12"/>
        <v>2021년 04월 22일</v>
      </c>
      <c r="Y5" t="str">
        <f t="shared" si="13"/>
        <v>2021년 04월 22일</v>
      </c>
      <c r="Z5" t="str">
        <f t="shared" si="14"/>
        <v>서초네이처힐5단지 505동 지하수관로 맨홀 보수공사</v>
      </c>
      <c r="AA5" t="str">
        <f t="shared" si="15"/>
        <v>서초네이처힐5단지 505동 지하수관로 맨홀 보수공사</v>
      </c>
      <c r="AB5" t="str">
        <f t="shared" si="16"/>
        <v>금원(금영원)</v>
      </c>
      <c r="AC5" t="str">
        <f t="shared" si="17"/>
        <v>금원(금영원)</v>
      </c>
      <c r="AD5" t="str">
        <f t="shared" si="18"/>
        <v>2021년 04월 22일</v>
      </c>
      <c r="AE5" t="str">
        <f t="shared" ref="AE5" si="30">O5</f>
        <v>2021년 04월 23일</v>
      </c>
      <c r="AF5" t="str">
        <f t="shared" ref="AF5" si="31">O5</f>
        <v>2021년 04월 23일</v>
      </c>
      <c r="AG5" t="str">
        <f t="shared" ref="AG5" si="32">O5</f>
        <v>2021년 04월 23일</v>
      </c>
      <c r="AH5">
        <f t="shared" si="24"/>
        <v>4</v>
      </c>
    </row>
    <row r="6" spans="1:58">
      <c r="A6" s="7" t="s">
        <v>37</v>
      </c>
      <c r="B6" s="7" t="s">
        <v>38</v>
      </c>
      <c r="C6" s="10">
        <v>44308</v>
      </c>
      <c r="D6" s="10">
        <v>44312</v>
      </c>
      <c r="E6" s="10">
        <v>44308</v>
      </c>
      <c r="F6" s="10">
        <v>44313</v>
      </c>
      <c r="G6" s="17">
        <v>10871000</v>
      </c>
      <c r="I6" s="21" t="s">
        <v>39</v>
      </c>
      <c r="J6" s="8" t="str">
        <f t="shared" si="0"/>
        <v>금10,871,000원(금일천팔십칠만일천원)</v>
      </c>
      <c r="K6" s="8">
        <f t="shared" si="1"/>
        <v>0</v>
      </c>
      <c r="L6" t="str">
        <f t="shared" si="2"/>
        <v>2021년 04월 22일</v>
      </c>
      <c r="M6" s="4" t="str">
        <f t="shared" si="3"/>
        <v>2021년 04월 26일</v>
      </c>
      <c r="N6" s="4" t="str">
        <f t="shared" si="4"/>
        <v>2021년 04월 22일</v>
      </c>
      <c r="O6" t="str">
        <f t="shared" si="5"/>
        <v>2021년 04월 27일</v>
      </c>
      <c r="P6" t="str">
        <f t="shared" si="6"/>
        <v>서초네이처힐5단지 승강기 503동3호기 쉬브,로프 외 교체공사</v>
      </c>
      <c r="Q6" t="str">
        <f t="shared" si="7"/>
        <v>서초네이처힐5단지 승강기 503동3호기 쉬브,로프 외 교체공사</v>
      </c>
      <c r="R6" t="str">
        <f t="shared" si="8"/>
        <v>서초네이처힐5단지 승강기 503동3호기 쉬브,로프 외 교체공사</v>
      </c>
      <c r="S6" t="str">
        <f t="shared" si="9"/>
        <v>금10,871,000원(금일천팔십칠만일천원)</v>
      </c>
      <c r="U6" t="str">
        <f t="shared" si="10"/>
        <v>2021년 04월 22일</v>
      </c>
      <c r="V6" t="str">
        <f t="shared" ref="V6" si="33">L6</f>
        <v>2021년 04월 22일</v>
      </c>
      <c r="W6" t="str">
        <f t="shared" ref="W6" si="34">M6</f>
        <v>2021년 04월 26일</v>
      </c>
      <c r="X6" t="str">
        <f t="shared" si="12"/>
        <v>2021년 04월 26일</v>
      </c>
      <c r="Y6" t="str">
        <f t="shared" si="13"/>
        <v>2021년 04월 26일</v>
      </c>
      <c r="Z6" t="str">
        <f t="shared" si="14"/>
        <v>서초네이처힐5단지 승강기 503동3호기 쉬브,로프 외 교체공사</v>
      </c>
      <c r="AA6" t="str">
        <f t="shared" si="15"/>
        <v>서초네이처힐5단지 승강기 503동3호기 쉬브,로프 외 교체공사</v>
      </c>
      <c r="AB6" t="str">
        <f t="shared" si="16"/>
        <v>금원(금영원)</v>
      </c>
      <c r="AC6" t="str">
        <f t="shared" si="17"/>
        <v>금원(금영원)</v>
      </c>
      <c r="AD6" t="str">
        <f t="shared" si="18"/>
        <v>2021년 04월 26일</v>
      </c>
      <c r="AE6" t="str">
        <f t="shared" ref="AE6" si="35">O6</f>
        <v>2021년 04월 27일</v>
      </c>
      <c r="AF6" t="str">
        <f t="shared" ref="AF6" si="36">O6</f>
        <v>2021년 04월 27일</v>
      </c>
      <c r="AG6" t="str">
        <f t="shared" ref="AG6" si="37">O6</f>
        <v>2021년 04월 27일</v>
      </c>
      <c r="AH6">
        <f t="shared" si="24"/>
        <v>5</v>
      </c>
    </row>
    <row r="7" spans="1:58">
      <c r="A7" s="7" t="s">
        <v>40</v>
      </c>
      <c r="B7" s="7" t="s">
        <v>41</v>
      </c>
      <c r="C7" s="10">
        <v>44329</v>
      </c>
      <c r="D7" s="10">
        <v>44330</v>
      </c>
      <c r="E7" s="10">
        <v>44329</v>
      </c>
      <c r="F7" s="10">
        <v>44334</v>
      </c>
      <c r="G7" s="17">
        <v>3432000</v>
      </c>
      <c r="I7" s="21" t="s">
        <v>39</v>
      </c>
      <c r="J7" s="8" t="str">
        <f t="shared" si="0"/>
        <v>금3,432,000원(금삼백사십삼만이천원)</v>
      </c>
      <c r="K7" s="8" t="str">
        <f t="shared" si="1"/>
        <v>금원(금영원)</v>
      </c>
      <c r="L7" t="str">
        <f t="shared" si="2"/>
        <v>2021년 05월 13일</v>
      </c>
      <c r="M7" s="4" t="str">
        <f t="shared" si="3"/>
        <v>2021년 05월 14일</v>
      </c>
      <c r="N7" s="4" t="str">
        <f t="shared" si="4"/>
        <v>2021년 05월 13일</v>
      </c>
      <c r="O7" t="str">
        <f t="shared" si="5"/>
        <v>2021년 05월 18일</v>
      </c>
      <c r="P7" t="str">
        <f t="shared" si="6"/>
        <v>서초네이처힐5단지 승강기 바닥재 교체공사</v>
      </c>
      <c r="Q7" t="str">
        <f t="shared" si="7"/>
        <v>서초네이처힐5단지 승강기 바닥재 교체공사</v>
      </c>
      <c r="R7" t="str">
        <f t="shared" si="8"/>
        <v>서초네이처힐5단지 승강기 바닥재 교체공사</v>
      </c>
      <c r="S7" t="str">
        <f t="shared" si="9"/>
        <v>금3,432,000원(금삼백사십삼만이천원)</v>
      </c>
      <c r="T7" t="str">
        <f t="shared" ref="T7:T33" si="38">"금"&amp;TEXT( H7,"#,###") &amp;"원"&amp;"(금"&amp; NUMBERSTRING(H7,1) &amp; "원)"</f>
        <v>금원(금영원)</v>
      </c>
      <c r="U7" t="str">
        <f t="shared" si="10"/>
        <v>2021년 05월 13일</v>
      </c>
      <c r="V7" t="str">
        <f t="shared" ref="V7" si="39">L7</f>
        <v>2021년 05월 13일</v>
      </c>
      <c r="W7" t="str">
        <f t="shared" ref="W7" si="40">M7</f>
        <v>2021년 05월 14일</v>
      </c>
      <c r="X7" t="str">
        <f t="shared" si="12"/>
        <v>2021년 05월 14일</v>
      </c>
      <c r="Y7" t="str">
        <f t="shared" si="13"/>
        <v>2021년 05월 14일</v>
      </c>
      <c r="Z7" t="str">
        <f t="shared" si="14"/>
        <v>서초네이처힐5단지 승강기 바닥재 교체공사</v>
      </c>
      <c r="AA7" t="str">
        <f t="shared" si="15"/>
        <v>서초네이처힐5단지 승강기 바닥재 교체공사</v>
      </c>
      <c r="AB7" t="str">
        <f t="shared" si="16"/>
        <v>금원(금영원)</v>
      </c>
      <c r="AC7" t="str">
        <f t="shared" si="17"/>
        <v>금원(금영원)</v>
      </c>
      <c r="AD7" t="str">
        <f t="shared" si="18"/>
        <v>2021년 05월 14일</v>
      </c>
      <c r="AE7" t="str">
        <f t="shared" ref="AE7" si="41">O7</f>
        <v>2021년 05월 18일</v>
      </c>
      <c r="AF7" t="str">
        <f t="shared" ref="AF7" si="42">O7</f>
        <v>2021년 05월 18일</v>
      </c>
      <c r="AG7" t="str">
        <f t="shared" ref="AG7" si="43">O7</f>
        <v>2021년 05월 18일</v>
      </c>
      <c r="AH7">
        <f t="shared" si="24"/>
        <v>6</v>
      </c>
    </row>
    <row r="8" spans="1:58">
      <c r="A8" s="7" t="s">
        <v>42</v>
      </c>
      <c r="B8" s="7" t="s">
        <v>43</v>
      </c>
      <c r="C8" s="10">
        <v>44343</v>
      </c>
      <c r="D8" s="10">
        <v>44344</v>
      </c>
      <c r="E8" s="10">
        <v>44343</v>
      </c>
      <c r="F8" s="10">
        <v>44348</v>
      </c>
      <c r="G8" s="17">
        <v>858000</v>
      </c>
      <c r="I8" s="21" t="s">
        <v>44</v>
      </c>
      <c r="J8" s="8" t="str">
        <f t="shared" si="0"/>
        <v>금858,000원(금팔십오만팔천원)</v>
      </c>
      <c r="K8" s="8" t="str">
        <f t="shared" si="1"/>
        <v>금원(금영원)</v>
      </c>
      <c r="L8" t="str">
        <f t="shared" si="2"/>
        <v>2021년 05월 27일</v>
      </c>
      <c r="M8" s="4" t="str">
        <f t="shared" si="3"/>
        <v>2021년 05월 28일</v>
      </c>
      <c r="N8" s="4" t="str">
        <f t="shared" si="4"/>
        <v>2021년 05월 27일</v>
      </c>
      <c r="O8" t="str">
        <f t="shared" si="5"/>
        <v>2021년 06월 01일</v>
      </c>
      <c r="P8" t="str">
        <f t="shared" si="6"/>
        <v>서초네이처힐가든 106동 옥상 태양광 발전설비 보수</v>
      </c>
      <c r="Q8" t="str">
        <f t="shared" si="7"/>
        <v>서초네이처힐가든 106동 옥상 태양광 발전설비 보수</v>
      </c>
      <c r="R8" t="str">
        <f t="shared" si="8"/>
        <v>서초네이처힐가든 106동 옥상 태양광 발전설비 보수</v>
      </c>
      <c r="S8" t="str">
        <f t="shared" si="9"/>
        <v>금858,000원(금팔십오만팔천원)</v>
      </c>
      <c r="T8" t="str">
        <f t="shared" si="38"/>
        <v>금원(금영원)</v>
      </c>
      <c r="U8" t="str">
        <f t="shared" ref="U8" si="44">N8</f>
        <v>2021년 05월 27일</v>
      </c>
      <c r="V8" t="str">
        <f t="shared" ref="V8" si="45">L8</f>
        <v>2021년 05월 27일</v>
      </c>
      <c r="W8" t="str">
        <f t="shared" ref="W8" si="46">M8</f>
        <v>2021년 05월 28일</v>
      </c>
      <c r="X8" t="str">
        <f t="shared" ref="X8" si="47">M8</f>
        <v>2021년 05월 28일</v>
      </c>
      <c r="Y8" t="str">
        <f t="shared" ref="Y8" si="48">M8</f>
        <v>2021년 05월 28일</v>
      </c>
      <c r="Z8" t="str">
        <f t="shared" si="14"/>
        <v>서초네이처힐가든 106동 옥상 태양광 발전설비 보수</v>
      </c>
      <c r="AA8" t="str">
        <f t="shared" si="15"/>
        <v>서초네이처힐가든 106동 옥상 태양광 발전설비 보수</v>
      </c>
      <c r="AB8" t="str">
        <f t="shared" si="16"/>
        <v>금원(금영원)</v>
      </c>
      <c r="AC8" t="str">
        <f t="shared" si="17"/>
        <v>금원(금영원)</v>
      </c>
      <c r="AD8" t="str">
        <f t="shared" ref="AD8" si="49">M8</f>
        <v>2021년 05월 28일</v>
      </c>
      <c r="AE8" t="str">
        <f t="shared" ref="AE8" si="50">O8</f>
        <v>2021년 06월 01일</v>
      </c>
      <c r="AF8" t="str">
        <f t="shared" ref="AF8" si="51">O8</f>
        <v>2021년 06월 01일</v>
      </c>
      <c r="AG8" t="str">
        <f t="shared" ref="AG8" si="52">O8</f>
        <v>2021년 06월 01일</v>
      </c>
      <c r="AH8">
        <f t="shared" si="24"/>
        <v>7</v>
      </c>
    </row>
    <row r="9" spans="1:58">
      <c r="A9" s="7" t="s">
        <v>45</v>
      </c>
      <c r="B9" s="7" t="s">
        <v>46</v>
      </c>
      <c r="C9" s="10">
        <v>44347</v>
      </c>
      <c r="D9" s="10">
        <v>44347</v>
      </c>
      <c r="E9" s="10">
        <v>44347</v>
      </c>
      <c r="F9" s="10">
        <v>44349</v>
      </c>
      <c r="G9" s="17">
        <v>935000</v>
      </c>
      <c r="I9" s="21" t="s">
        <v>39</v>
      </c>
      <c r="J9" s="8" t="str">
        <f t="shared" si="0"/>
        <v>금935,000원(금구십삼만오천원)</v>
      </c>
      <c r="K9" s="8" t="str">
        <f t="shared" si="1"/>
        <v>금원(금영원)</v>
      </c>
      <c r="L9" t="str">
        <f t="shared" si="2"/>
        <v>2021년 05월 31일</v>
      </c>
      <c r="M9" s="4" t="str">
        <f t="shared" si="3"/>
        <v>2021년 05월 31일</v>
      </c>
      <c r="N9" s="4" t="str">
        <f t="shared" si="4"/>
        <v>2021년 05월 31일</v>
      </c>
      <c r="O9" t="str">
        <f t="shared" si="5"/>
        <v>2021년 06월 02일</v>
      </c>
      <c r="P9" t="str">
        <f t="shared" si="6"/>
        <v>서초네이처힐5단지 정문 주차차단기 루프코일 교체</v>
      </c>
      <c r="Q9" t="str">
        <f t="shared" si="7"/>
        <v>서초네이처힐5단지 정문 주차차단기 루프코일 교체</v>
      </c>
      <c r="R9" t="str">
        <f t="shared" si="8"/>
        <v>서초네이처힐5단지 정문 주차차단기 루프코일 교체</v>
      </c>
      <c r="S9" t="str">
        <f t="shared" si="9"/>
        <v>금935,000원(금구십삼만오천원)</v>
      </c>
      <c r="T9" t="str">
        <f t="shared" si="38"/>
        <v>금원(금영원)</v>
      </c>
      <c r="U9" t="str">
        <f t="shared" ref="U9" si="53">N9</f>
        <v>2021년 05월 31일</v>
      </c>
      <c r="V9" t="str">
        <f t="shared" ref="V9" si="54">L9</f>
        <v>2021년 05월 31일</v>
      </c>
      <c r="W9" t="str">
        <f t="shared" ref="W9" si="55">M9</f>
        <v>2021년 05월 31일</v>
      </c>
      <c r="X9" t="str">
        <f t="shared" ref="X9" si="56">M9</f>
        <v>2021년 05월 31일</v>
      </c>
      <c r="Y9" t="str">
        <f t="shared" ref="Y9" si="57">M9</f>
        <v>2021년 05월 31일</v>
      </c>
      <c r="Z9" t="str">
        <f t="shared" si="14"/>
        <v>서초네이처힐5단지 정문 주차차단기 루프코일 교체</v>
      </c>
      <c r="AA9" t="str">
        <f t="shared" si="15"/>
        <v>서초네이처힐5단지 정문 주차차단기 루프코일 교체</v>
      </c>
      <c r="AB9" t="str">
        <f t="shared" si="16"/>
        <v>금원(금영원)</v>
      </c>
      <c r="AC9" t="str">
        <f t="shared" si="17"/>
        <v>금원(금영원)</v>
      </c>
      <c r="AD9" t="str">
        <f t="shared" ref="AD9" si="58">M9</f>
        <v>2021년 05월 31일</v>
      </c>
      <c r="AE9" t="str">
        <f t="shared" ref="AE9" si="59">O9</f>
        <v>2021년 06월 02일</v>
      </c>
      <c r="AF9" t="str">
        <f t="shared" ref="AF9" si="60">O9</f>
        <v>2021년 06월 02일</v>
      </c>
      <c r="AG9" t="str">
        <f t="shared" ref="AG9" si="61">O9</f>
        <v>2021년 06월 02일</v>
      </c>
      <c r="AH9">
        <f t="shared" ref="AH9:AH67" si="62">AH8+1</f>
        <v>8</v>
      </c>
    </row>
    <row r="10" spans="1:58">
      <c r="A10" s="7" t="s">
        <v>47</v>
      </c>
      <c r="B10" s="7" t="s">
        <v>32</v>
      </c>
      <c r="C10" s="10">
        <v>44347</v>
      </c>
      <c r="D10" s="10">
        <v>44347</v>
      </c>
      <c r="E10" s="10">
        <v>44347</v>
      </c>
      <c r="F10" s="10">
        <v>44348</v>
      </c>
      <c r="G10" s="17">
        <v>1053000</v>
      </c>
      <c r="I10" s="21" t="s">
        <v>39</v>
      </c>
      <c r="J10" s="8" t="str">
        <f t="shared" si="0"/>
        <v>금1,053,000원(금일백오만삼천원)</v>
      </c>
      <c r="K10" s="8" t="str">
        <f t="shared" si="1"/>
        <v>금원(금영원)</v>
      </c>
      <c r="L10" t="str">
        <f t="shared" si="2"/>
        <v>2021년 05월 31일</v>
      </c>
      <c r="M10" s="4" t="str">
        <f t="shared" si="3"/>
        <v>2021년 05월 31일</v>
      </c>
      <c r="N10" s="4" t="str">
        <f t="shared" si="4"/>
        <v>2021년 05월 31일</v>
      </c>
      <c r="O10" t="str">
        <f t="shared" si="5"/>
        <v>2021년 06월 01일</v>
      </c>
      <c r="P10" t="str">
        <f t="shared" si="6"/>
        <v>서초네이처힐5단지 501동 302호 퇴거세대 온돌마루 교체공사</v>
      </c>
      <c r="Q10" t="str">
        <f t="shared" si="7"/>
        <v>서초네이처힐5단지 501동 302호 퇴거세대 온돌마루 교체공사</v>
      </c>
      <c r="R10" t="str">
        <f t="shared" si="8"/>
        <v>서초네이처힐5단지 501동 302호 퇴거세대 온돌마루 교체공사</v>
      </c>
      <c r="S10" t="str">
        <f t="shared" si="9"/>
        <v>금1,053,000원(금일백오만삼천원)</v>
      </c>
      <c r="T10" t="str">
        <f t="shared" si="38"/>
        <v>금원(금영원)</v>
      </c>
      <c r="U10" t="str">
        <f t="shared" ref="U10" si="63">N10</f>
        <v>2021년 05월 31일</v>
      </c>
      <c r="V10" t="str">
        <f t="shared" ref="V10" si="64">L10</f>
        <v>2021년 05월 31일</v>
      </c>
      <c r="W10" t="str">
        <f t="shared" ref="W10" si="65">M10</f>
        <v>2021년 05월 31일</v>
      </c>
      <c r="X10" t="str">
        <f t="shared" ref="X10" si="66">M10</f>
        <v>2021년 05월 31일</v>
      </c>
      <c r="Y10" t="str">
        <f t="shared" ref="Y10" si="67">M10</f>
        <v>2021년 05월 31일</v>
      </c>
      <c r="Z10" t="str">
        <f t="shared" si="14"/>
        <v>서초네이처힐5단지 501동 302호 퇴거세대 온돌마루 교체공사</v>
      </c>
      <c r="AA10" t="str">
        <f t="shared" si="15"/>
        <v>서초네이처힐5단지 501동 302호 퇴거세대 온돌마루 교체공사</v>
      </c>
      <c r="AB10" t="str">
        <f t="shared" si="16"/>
        <v>금원(금영원)</v>
      </c>
      <c r="AC10" t="str">
        <f t="shared" si="17"/>
        <v>금원(금영원)</v>
      </c>
      <c r="AD10" t="str">
        <f t="shared" ref="AD10" si="68">M10</f>
        <v>2021년 05월 31일</v>
      </c>
      <c r="AE10" t="str">
        <f t="shared" ref="AE10" si="69">O10</f>
        <v>2021년 06월 01일</v>
      </c>
      <c r="AF10" t="str">
        <f t="shared" ref="AF10" si="70">O10</f>
        <v>2021년 06월 01일</v>
      </c>
      <c r="AG10" t="str">
        <f t="shared" ref="AG10" si="71">O10</f>
        <v>2021년 06월 01일</v>
      </c>
      <c r="AH10">
        <f t="shared" si="62"/>
        <v>9</v>
      </c>
    </row>
    <row r="11" spans="1:58">
      <c r="A11" s="7" t="s">
        <v>48</v>
      </c>
      <c r="B11" s="7" t="s">
        <v>49</v>
      </c>
      <c r="C11" s="10">
        <v>44355</v>
      </c>
      <c r="D11" s="10">
        <v>44355</v>
      </c>
      <c r="E11" s="10">
        <v>44355</v>
      </c>
      <c r="F11" s="10">
        <v>44355</v>
      </c>
      <c r="G11" s="17">
        <v>1100000</v>
      </c>
      <c r="I11" s="21" t="s">
        <v>50</v>
      </c>
      <c r="J11" s="8" t="str">
        <f t="shared" si="0"/>
        <v>금1,100,000원(금일백일십만원)</v>
      </c>
      <c r="K11" s="8" t="str">
        <f t="shared" si="1"/>
        <v>금원(금영원)</v>
      </c>
      <c r="L11" t="str">
        <f t="shared" si="2"/>
        <v>2021년 06월 08일</v>
      </c>
      <c r="M11" s="4" t="str">
        <f t="shared" si="3"/>
        <v>2021년 06월 08일</v>
      </c>
      <c r="N11" s="4" t="str">
        <f t="shared" si="4"/>
        <v>2021년 06월 08일</v>
      </c>
      <c r="O11" t="str">
        <f t="shared" si="5"/>
        <v>2021년 06월 08일</v>
      </c>
      <c r="P11" t="str">
        <f t="shared" si="6"/>
        <v>양재리본타워1단지 TV공청 장비 교체</v>
      </c>
      <c r="Q11" t="str">
        <f t="shared" si="7"/>
        <v>양재리본타워1단지 TV공청 장비 교체</v>
      </c>
      <c r="R11" t="str">
        <f t="shared" si="8"/>
        <v>양재리본타워1단지 TV공청 장비 교체</v>
      </c>
      <c r="S11" t="str">
        <f t="shared" si="9"/>
        <v>금1,100,000원(금일백일십만원)</v>
      </c>
      <c r="T11" t="str">
        <f t="shared" si="38"/>
        <v>금원(금영원)</v>
      </c>
      <c r="U11" t="str">
        <f t="shared" ref="U11" si="72">N11</f>
        <v>2021년 06월 08일</v>
      </c>
      <c r="V11" t="str">
        <f t="shared" ref="V11" si="73">L11</f>
        <v>2021년 06월 08일</v>
      </c>
      <c r="W11" t="str">
        <f t="shared" ref="W11" si="74">M11</f>
        <v>2021년 06월 08일</v>
      </c>
      <c r="X11" t="str">
        <f t="shared" ref="X11" si="75">M11</f>
        <v>2021년 06월 08일</v>
      </c>
      <c r="Y11" t="str">
        <f t="shared" ref="Y11" si="76">M11</f>
        <v>2021년 06월 08일</v>
      </c>
      <c r="Z11" t="str">
        <f t="shared" si="14"/>
        <v>양재리본타워1단지 TV공청 장비 교체</v>
      </c>
      <c r="AA11" t="str">
        <f t="shared" si="15"/>
        <v>양재리본타워1단지 TV공청 장비 교체</v>
      </c>
      <c r="AB11" t="str">
        <f t="shared" si="16"/>
        <v>금원(금영원)</v>
      </c>
      <c r="AC11" t="str">
        <f t="shared" si="17"/>
        <v>금원(금영원)</v>
      </c>
      <c r="AD11" t="str">
        <f t="shared" ref="AD11" si="77">M11</f>
        <v>2021년 06월 08일</v>
      </c>
      <c r="AE11" t="str">
        <f t="shared" ref="AE11" si="78">O11</f>
        <v>2021년 06월 08일</v>
      </c>
      <c r="AF11" t="str">
        <f t="shared" ref="AF11" si="79">O11</f>
        <v>2021년 06월 08일</v>
      </c>
      <c r="AG11" t="str">
        <f t="shared" ref="AG11" si="80">O11</f>
        <v>2021년 06월 08일</v>
      </c>
      <c r="AH11">
        <f t="shared" si="62"/>
        <v>10</v>
      </c>
    </row>
    <row r="12" spans="1:58">
      <c r="A12" s="7" t="s">
        <v>51</v>
      </c>
      <c r="B12" s="7" t="s">
        <v>52</v>
      </c>
      <c r="C12" s="10">
        <v>44355</v>
      </c>
      <c r="D12" s="10">
        <v>44356</v>
      </c>
      <c r="E12" s="10">
        <v>44355</v>
      </c>
      <c r="F12" s="10">
        <v>44357</v>
      </c>
      <c r="G12" s="17">
        <v>4950000</v>
      </c>
      <c r="I12" s="21" t="s">
        <v>53</v>
      </c>
      <c r="J12" s="8" t="str">
        <f t="shared" si="0"/>
        <v>금4,950,000원(금사백구십오만원)</v>
      </c>
      <c r="K12" s="8" t="str">
        <f t="shared" si="1"/>
        <v>금원(금영원)</v>
      </c>
      <c r="L12" t="str">
        <f t="shared" si="2"/>
        <v>2021년 06월 08일</v>
      </c>
      <c r="M12" s="4" t="str">
        <f t="shared" si="3"/>
        <v>2021년 06월 09일</v>
      </c>
      <c r="N12" s="4" t="str">
        <f t="shared" si="4"/>
        <v>2021년 06월 08일</v>
      </c>
      <c r="O12" t="str">
        <f t="shared" si="5"/>
        <v>2021년 06월 10일</v>
      </c>
      <c r="P12" t="str">
        <f t="shared" si="6"/>
        <v>서초네이처힐가든 및 양재리본타워1단지 지하 배수펌프 교체공사</v>
      </c>
      <c r="Q12" t="str">
        <f t="shared" si="7"/>
        <v>서초네이처힐가든 및 양재리본타워1단지 지하 배수펌프 교체공사</v>
      </c>
      <c r="R12" t="str">
        <f t="shared" si="8"/>
        <v>서초네이처힐가든 및 양재리본타워1단지 지하 배수펌프 교체공사</v>
      </c>
      <c r="S12" t="str">
        <f t="shared" si="9"/>
        <v>금4,950,000원(금사백구십오만원)</v>
      </c>
      <c r="T12" t="str">
        <f t="shared" si="38"/>
        <v>금원(금영원)</v>
      </c>
      <c r="U12" t="str">
        <f t="shared" ref="U12" si="81">N12</f>
        <v>2021년 06월 08일</v>
      </c>
      <c r="V12" t="str">
        <f t="shared" ref="V12" si="82">L12</f>
        <v>2021년 06월 08일</v>
      </c>
      <c r="W12" t="str">
        <f t="shared" ref="W12" si="83">M12</f>
        <v>2021년 06월 09일</v>
      </c>
      <c r="X12" t="str">
        <f t="shared" ref="X12" si="84">M12</f>
        <v>2021년 06월 09일</v>
      </c>
      <c r="Y12" t="str">
        <f t="shared" ref="Y12" si="85">M12</f>
        <v>2021년 06월 09일</v>
      </c>
      <c r="Z12" t="str">
        <f t="shared" si="14"/>
        <v>서초네이처힐가든 및 양재리본타워1단지 지하 배수펌프 교체공사</v>
      </c>
      <c r="AA12" t="str">
        <f t="shared" si="15"/>
        <v>서초네이처힐가든 및 양재리본타워1단지 지하 배수펌프 교체공사</v>
      </c>
      <c r="AB12" t="str">
        <f t="shared" si="16"/>
        <v>금원(금영원)</v>
      </c>
      <c r="AC12" t="str">
        <f t="shared" si="17"/>
        <v>금원(금영원)</v>
      </c>
      <c r="AD12" t="str">
        <f t="shared" ref="AD12" si="86">M12</f>
        <v>2021년 06월 09일</v>
      </c>
      <c r="AE12" t="str">
        <f t="shared" ref="AE12" si="87">O12</f>
        <v>2021년 06월 10일</v>
      </c>
      <c r="AF12" t="str">
        <f t="shared" ref="AF12" si="88">O12</f>
        <v>2021년 06월 10일</v>
      </c>
      <c r="AG12" t="str">
        <f t="shared" ref="AG12" si="89">O12</f>
        <v>2021년 06월 10일</v>
      </c>
      <c r="AH12">
        <f t="shared" si="62"/>
        <v>11</v>
      </c>
    </row>
    <row r="13" spans="1:58">
      <c r="A13" s="7" t="s">
        <v>54</v>
      </c>
      <c r="B13" s="7" t="s">
        <v>55</v>
      </c>
      <c r="C13" s="10">
        <v>44357</v>
      </c>
      <c r="D13" s="10">
        <v>44357</v>
      </c>
      <c r="E13" s="10">
        <v>44357</v>
      </c>
      <c r="F13" s="10">
        <v>44357</v>
      </c>
      <c r="G13" s="17">
        <v>0</v>
      </c>
      <c r="I13" s="21" t="s">
        <v>50</v>
      </c>
      <c r="J13" s="8" t="str">
        <f t="shared" si="0"/>
        <v>금원(금영원)</v>
      </c>
      <c r="K13" s="8" t="str">
        <f t="shared" si="1"/>
        <v>금원(금영원)</v>
      </c>
      <c r="L13" t="str">
        <f t="shared" si="2"/>
        <v>2021년 06월 10일</v>
      </c>
      <c r="M13" s="4" t="str">
        <f t="shared" si="3"/>
        <v>2021년 06월 10일</v>
      </c>
      <c r="N13" s="4" t="str">
        <f t="shared" si="4"/>
        <v>2021년 06월 10일</v>
      </c>
      <c r="O13" t="str">
        <f t="shared" si="5"/>
        <v>2021년 06월 10일</v>
      </c>
      <c r="P13" t="str">
        <f t="shared" si="6"/>
        <v>양재리본타워1단지 외 발코니 PL 창호 보수</v>
      </c>
      <c r="Q13" t="str">
        <f t="shared" si="7"/>
        <v>양재리본타워1단지 외 발코니 PL 창호 보수</v>
      </c>
      <c r="R13" t="str">
        <f t="shared" si="8"/>
        <v>양재리본타워1단지 외 발코니 PL 창호 보수</v>
      </c>
      <c r="S13" t="str">
        <f t="shared" si="9"/>
        <v>금원(금영원)</v>
      </c>
      <c r="T13" t="str">
        <f t="shared" si="38"/>
        <v>금원(금영원)</v>
      </c>
      <c r="U13" t="str">
        <f t="shared" ref="U13" si="90">N13</f>
        <v>2021년 06월 10일</v>
      </c>
      <c r="V13" t="str">
        <f t="shared" ref="V13" si="91">L13</f>
        <v>2021년 06월 10일</v>
      </c>
      <c r="W13" t="str">
        <f t="shared" ref="W13" si="92">M13</f>
        <v>2021년 06월 10일</v>
      </c>
      <c r="X13" t="str">
        <f t="shared" ref="X13" si="93">M13</f>
        <v>2021년 06월 10일</v>
      </c>
      <c r="Y13" t="str">
        <f t="shared" ref="Y13" si="94">M13</f>
        <v>2021년 06월 10일</v>
      </c>
      <c r="Z13" t="str">
        <f t="shared" si="14"/>
        <v>양재리본타워1단지 외 발코니 PL 창호 보수</v>
      </c>
      <c r="AA13" t="str">
        <f t="shared" si="15"/>
        <v>양재리본타워1단지 외 발코니 PL 창호 보수</v>
      </c>
      <c r="AB13" t="str">
        <f t="shared" si="16"/>
        <v>금원(금영원)</v>
      </c>
      <c r="AC13" t="str">
        <f t="shared" si="17"/>
        <v>금원(금영원)</v>
      </c>
      <c r="AD13" t="str">
        <f t="shared" ref="AD13" si="95">M13</f>
        <v>2021년 06월 10일</v>
      </c>
      <c r="AE13" t="str">
        <f t="shared" ref="AE13" si="96">O13</f>
        <v>2021년 06월 10일</v>
      </c>
      <c r="AF13" t="str">
        <f t="shared" ref="AF13" si="97">O13</f>
        <v>2021년 06월 10일</v>
      </c>
      <c r="AG13" t="str">
        <f t="shared" ref="AG13" si="98">O13</f>
        <v>2021년 06월 10일</v>
      </c>
      <c r="AH13">
        <f t="shared" si="62"/>
        <v>12</v>
      </c>
    </row>
    <row r="14" spans="1:58">
      <c r="A14" s="7" t="s">
        <v>56</v>
      </c>
      <c r="B14" s="7" t="s">
        <v>57</v>
      </c>
      <c r="C14" s="10">
        <v>44368</v>
      </c>
      <c r="D14" s="10">
        <v>44368</v>
      </c>
      <c r="E14" s="10">
        <v>44368</v>
      </c>
      <c r="F14" s="10">
        <v>44349</v>
      </c>
      <c r="G14" s="17">
        <v>946000</v>
      </c>
      <c r="I14" s="21" t="s">
        <v>58</v>
      </c>
      <c r="J14" s="8" t="str">
        <f t="shared" si="0"/>
        <v>금946,000원(금구십사만육천원)</v>
      </c>
      <c r="K14" s="8" t="str">
        <f t="shared" si="1"/>
        <v>금원(금영원)</v>
      </c>
      <c r="L14" t="str">
        <f t="shared" si="2"/>
        <v>2021년 06월 21일</v>
      </c>
      <c r="M14" s="4" t="str">
        <f t="shared" si="3"/>
        <v>2021년 06월 21일</v>
      </c>
      <c r="N14" s="4" t="str">
        <f t="shared" si="4"/>
        <v>2021년 06월 21일</v>
      </c>
      <c r="O14" t="str">
        <f t="shared" si="5"/>
        <v>2021년 06월 02일</v>
      </c>
      <c r="P14" t="str">
        <f t="shared" si="6"/>
        <v xml:space="preserve">서초네이처힐5단지 504-204 개별보일러 교체 </v>
      </c>
      <c r="Q14" t="str">
        <f t="shared" si="7"/>
        <v xml:space="preserve">서초네이처힐5단지 504-204 개별보일러 교체 </v>
      </c>
      <c r="R14" t="str">
        <f t="shared" si="8"/>
        <v xml:space="preserve">서초네이처힐5단지 504-204 개별보일러 교체 </v>
      </c>
      <c r="S14" t="str">
        <f t="shared" si="9"/>
        <v>금946,000원(금구십사만육천원)</v>
      </c>
      <c r="T14" t="str">
        <f t="shared" si="38"/>
        <v>금원(금영원)</v>
      </c>
      <c r="U14" t="str">
        <f t="shared" ref="U14" si="99">N14</f>
        <v>2021년 06월 21일</v>
      </c>
      <c r="V14" t="str">
        <f t="shared" ref="V14" si="100">L14</f>
        <v>2021년 06월 21일</v>
      </c>
      <c r="W14" t="str">
        <f t="shared" ref="W14" si="101">M14</f>
        <v>2021년 06월 21일</v>
      </c>
      <c r="X14" t="str">
        <f t="shared" ref="X14" si="102">M14</f>
        <v>2021년 06월 21일</v>
      </c>
      <c r="Y14" t="str">
        <f t="shared" ref="Y14" si="103">M14</f>
        <v>2021년 06월 21일</v>
      </c>
      <c r="Z14" t="str">
        <f t="shared" si="14"/>
        <v xml:space="preserve">서초네이처힐5단지 504-204 개별보일러 교체 </v>
      </c>
      <c r="AA14" t="str">
        <f t="shared" si="15"/>
        <v xml:space="preserve">서초네이처힐5단지 504-204 개별보일러 교체 </v>
      </c>
      <c r="AB14" t="str">
        <f t="shared" si="16"/>
        <v>금원(금영원)</v>
      </c>
      <c r="AC14" t="str">
        <f t="shared" si="17"/>
        <v>금원(금영원)</v>
      </c>
      <c r="AD14" t="str">
        <f t="shared" ref="AD14" si="104">M14</f>
        <v>2021년 06월 21일</v>
      </c>
      <c r="AE14" t="str">
        <f t="shared" ref="AE14" si="105">O14</f>
        <v>2021년 06월 02일</v>
      </c>
      <c r="AF14" t="str">
        <f t="shared" ref="AF14" si="106">O14</f>
        <v>2021년 06월 02일</v>
      </c>
      <c r="AG14" t="str">
        <f t="shared" ref="AG14" si="107">O14</f>
        <v>2021년 06월 02일</v>
      </c>
      <c r="AH14">
        <f t="shared" si="62"/>
        <v>13</v>
      </c>
    </row>
    <row r="15" spans="1:58">
      <c r="A15" s="7" t="s">
        <v>59</v>
      </c>
      <c r="B15" s="7" t="s">
        <v>60</v>
      </c>
      <c r="C15" s="10">
        <v>44361</v>
      </c>
      <c r="D15" s="10">
        <v>44361</v>
      </c>
      <c r="E15" s="10">
        <v>44361</v>
      </c>
      <c r="F15" s="10">
        <v>44368</v>
      </c>
      <c r="G15" s="17">
        <v>550000</v>
      </c>
      <c r="I15" s="21" t="s">
        <v>39</v>
      </c>
      <c r="J15" s="8" t="str">
        <f t="shared" si="0"/>
        <v>금550,000원(금오십오만원)</v>
      </c>
      <c r="K15" s="8" t="str">
        <f t="shared" si="1"/>
        <v>금원(금영원)</v>
      </c>
      <c r="L15" t="str">
        <f t="shared" si="2"/>
        <v>2021년 06월 14일</v>
      </c>
      <c r="M15" s="4" t="str">
        <f t="shared" si="3"/>
        <v>2021년 06월 14일</v>
      </c>
      <c r="N15" s="4" t="str">
        <f t="shared" si="4"/>
        <v>2021년 06월 14일</v>
      </c>
      <c r="O15" t="str">
        <f t="shared" si="5"/>
        <v>2021년 06월 21일</v>
      </c>
      <c r="P15" t="str">
        <f t="shared" si="6"/>
        <v>서초네이처힐5단지 507동 1/3라인 통신실 홈네트워크 중계기 교체</v>
      </c>
      <c r="Q15" t="str">
        <f t="shared" si="7"/>
        <v>서초네이처힐5단지 507동 1/3라인 통신실 홈네트워크 중계기 교체</v>
      </c>
      <c r="R15" t="str">
        <f t="shared" si="8"/>
        <v>서초네이처힐5단지 507동 1/3라인 통신실 홈네트워크 중계기 교체</v>
      </c>
      <c r="S15" t="str">
        <f t="shared" si="9"/>
        <v>금550,000원(금오십오만원)</v>
      </c>
      <c r="T15" t="str">
        <f t="shared" si="38"/>
        <v>금원(금영원)</v>
      </c>
      <c r="U15" t="str">
        <f t="shared" ref="U15" si="108">N15</f>
        <v>2021년 06월 14일</v>
      </c>
      <c r="V15" t="str">
        <f t="shared" ref="V15" si="109">L15</f>
        <v>2021년 06월 14일</v>
      </c>
      <c r="W15" t="str">
        <f t="shared" ref="W15" si="110">M15</f>
        <v>2021년 06월 14일</v>
      </c>
      <c r="X15" t="str">
        <f t="shared" ref="X15" si="111">M15</f>
        <v>2021년 06월 14일</v>
      </c>
      <c r="Y15" t="str">
        <f t="shared" ref="Y15" si="112">M15</f>
        <v>2021년 06월 14일</v>
      </c>
      <c r="Z15" t="str">
        <f t="shared" si="14"/>
        <v>서초네이처힐5단지 507동 1/3라인 통신실 홈네트워크 중계기 교체</v>
      </c>
      <c r="AA15" t="str">
        <f t="shared" si="15"/>
        <v>서초네이처힐5단지 507동 1/3라인 통신실 홈네트워크 중계기 교체</v>
      </c>
      <c r="AB15" t="str">
        <f t="shared" si="16"/>
        <v>금원(금영원)</v>
      </c>
      <c r="AC15" t="str">
        <f t="shared" si="17"/>
        <v>금원(금영원)</v>
      </c>
      <c r="AD15" t="str">
        <f t="shared" ref="AD15" si="113">M15</f>
        <v>2021년 06월 14일</v>
      </c>
      <c r="AE15" t="str">
        <f t="shared" ref="AE15" si="114">O15</f>
        <v>2021년 06월 21일</v>
      </c>
      <c r="AF15" t="str">
        <f t="shared" ref="AF15" si="115">O15</f>
        <v>2021년 06월 21일</v>
      </c>
      <c r="AG15" t="str">
        <f t="shared" ref="AG15" si="116">O15</f>
        <v>2021년 06월 21일</v>
      </c>
      <c r="AH15">
        <f t="shared" si="62"/>
        <v>14</v>
      </c>
    </row>
    <row r="16" spans="1:58">
      <c r="A16" s="7" t="s">
        <v>61</v>
      </c>
      <c r="B16" s="7" t="s">
        <v>62</v>
      </c>
      <c r="C16" s="10">
        <v>44370</v>
      </c>
      <c r="D16" s="10">
        <v>44372</v>
      </c>
      <c r="E16" s="10">
        <v>44370</v>
      </c>
      <c r="F16" s="10">
        <v>44372</v>
      </c>
      <c r="G16" s="17">
        <v>3410000</v>
      </c>
      <c r="J16" s="8" t="str">
        <f t="shared" si="0"/>
        <v>금3,410,000원(금삼백사십일만원)</v>
      </c>
      <c r="K16" s="8" t="str">
        <f t="shared" si="1"/>
        <v>금원(금영원)</v>
      </c>
      <c r="L16" t="str">
        <f t="shared" si="2"/>
        <v>2021년 06월 23일</v>
      </c>
      <c r="M16" s="4" t="str">
        <f t="shared" si="3"/>
        <v>2021년 06월 25일</v>
      </c>
      <c r="N16" s="4" t="str">
        <f t="shared" si="4"/>
        <v>2021년 06월 23일</v>
      </c>
      <c r="O16" t="str">
        <f t="shared" si="5"/>
        <v>2021년 06월 25일</v>
      </c>
      <c r="P16" t="str">
        <f t="shared" si="6"/>
        <v>서초네이처힐가든 101동 옥상 방수 공사</v>
      </c>
      <c r="Q16" t="str">
        <f t="shared" si="7"/>
        <v>서초네이처힐가든 101동 옥상 방수 공사</v>
      </c>
      <c r="R16" t="str">
        <f t="shared" si="8"/>
        <v>서초네이처힐가든 101동 옥상 방수 공사</v>
      </c>
      <c r="S16" t="str">
        <f t="shared" si="9"/>
        <v>금3,410,000원(금삼백사십일만원)</v>
      </c>
      <c r="T16" t="str">
        <f t="shared" si="38"/>
        <v>금원(금영원)</v>
      </c>
      <c r="U16" t="str">
        <f t="shared" ref="U16" si="117">N16</f>
        <v>2021년 06월 23일</v>
      </c>
      <c r="V16" t="str">
        <f t="shared" ref="V16" si="118">L16</f>
        <v>2021년 06월 23일</v>
      </c>
      <c r="W16" t="str">
        <f t="shared" ref="W16" si="119">M16</f>
        <v>2021년 06월 25일</v>
      </c>
      <c r="X16" t="str">
        <f t="shared" ref="X16" si="120">M16</f>
        <v>2021년 06월 25일</v>
      </c>
      <c r="Y16" t="str">
        <f t="shared" ref="Y16" si="121">M16</f>
        <v>2021년 06월 25일</v>
      </c>
      <c r="Z16" t="str">
        <f t="shared" si="14"/>
        <v>서초네이처힐가든 101동 옥상 방수 공사</v>
      </c>
      <c r="AA16" t="str">
        <f t="shared" si="15"/>
        <v>서초네이처힐가든 101동 옥상 방수 공사</v>
      </c>
      <c r="AB16" t="str">
        <f t="shared" si="16"/>
        <v>금원(금영원)</v>
      </c>
      <c r="AC16" t="str">
        <f t="shared" si="17"/>
        <v>금원(금영원)</v>
      </c>
      <c r="AD16" t="str">
        <f t="shared" ref="AD16" si="122">M16</f>
        <v>2021년 06월 25일</v>
      </c>
      <c r="AE16" t="str">
        <f t="shared" ref="AE16" si="123">O16</f>
        <v>2021년 06월 25일</v>
      </c>
      <c r="AF16" t="str">
        <f t="shared" ref="AF16" si="124">O16</f>
        <v>2021년 06월 25일</v>
      </c>
      <c r="AG16" t="str">
        <f t="shared" ref="AG16" si="125">O16</f>
        <v>2021년 06월 25일</v>
      </c>
      <c r="AH16">
        <f t="shared" si="62"/>
        <v>15</v>
      </c>
    </row>
    <row r="17" spans="1:34">
      <c r="A17" s="7" t="s">
        <v>63</v>
      </c>
      <c r="B17" s="7" t="s">
        <v>64</v>
      </c>
      <c r="C17" s="10">
        <v>44361</v>
      </c>
      <c r="D17" s="10">
        <v>44375</v>
      </c>
      <c r="E17" s="10">
        <v>44361</v>
      </c>
      <c r="F17" s="10">
        <v>44379</v>
      </c>
      <c r="G17" s="17">
        <v>44296000</v>
      </c>
      <c r="J17" s="8" t="str">
        <f t="shared" si="0"/>
        <v>금44,296,000원(금사천사백이십구만육천원)</v>
      </c>
      <c r="K17" s="8" t="str">
        <f t="shared" si="1"/>
        <v>금원(금영원)</v>
      </c>
      <c r="L17" t="str">
        <f t="shared" si="2"/>
        <v>2021년 06월 14일</v>
      </c>
      <c r="M17" s="4" t="str">
        <f t="shared" si="3"/>
        <v>2021년 06월 28일</v>
      </c>
      <c r="N17" s="4" t="str">
        <f t="shared" si="4"/>
        <v>2021년 06월 14일</v>
      </c>
      <c r="O17" t="str">
        <f t="shared" si="5"/>
        <v>2021년 07월 02일</v>
      </c>
      <c r="P17" t="str">
        <f t="shared" si="6"/>
        <v>서초네이처힐5단지 501-1101 외 옥상 방수 공사</v>
      </c>
      <c r="Q17" t="str">
        <f t="shared" si="7"/>
        <v>서초네이처힐5단지 501-1101 외 옥상 방수 공사</v>
      </c>
      <c r="R17" t="str">
        <f t="shared" si="8"/>
        <v>서초네이처힐5단지 501-1101 외 옥상 방수 공사</v>
      </c>
      <c r="S17" t="str">
        <f t="shared" si="9"/>
        <v>금44,296,000원(금사천사백이십구만육천원)</v>
      </c>
      <c r="T17" t="str">
        <f t="shared" si="38"/>
        <v>금원(금영원)</v>
      </c>
      <c r="U17" t="str">
        <f t="shared" ref="U17" si="126">N17</f>
        <v>2021년 06월 14일</v>
      </c>
      <c r="V17" t="str">
        <f t="shared" ref="V17" si="127">L17</f>
        <v>2021년 06월 14일</v>
      </c>
      <c r="W17" t="str">
        <f t="shared" ref="W17" si="128">M17</f>
        <v>2021년 06월 28일</v>
      </c>
      <c r="X17" t="str">
        <f t="shared" ref="X17" si="129">M17</f>
        <v>2021년 06월 28일</v>
      </c>
      <c r="Y17" t="str">
        <f t="shared" ref="Y17" si="130">M17</f>
        <v>2021년 06월 28일</v>
      </c>
      <c r="Z17" t="str">
        <f t="shared" si="14"/>
        <v>서초네이처힐5단지 501-1101 외 옥상 방수 공사</v>
      </c>
      <c r="AA17" t="str">
        <f t="shared" si="15"/>
        <v>서초네이처힐5단지 501-1101 외 옥상 방수 공사</v>
      </c>
      <c r="AB17" t="str">
        <f t="shared" si="16"/>
        <v>금원(금영원)</v>
      </c>
      <c r="AC17" t="str">
        <f t="shared" si="17"/>
        <v>금원(금영원)</v>
      </c>
      <c r="AD17" t="str">
        <f t="shared" ref="AD17" si="131">M17</f>
        <v>2021년 06월 28일</v>
      </c>
      <c r="AE17" t="str">
        <f t="shared" ref="AE17" si="132">O17</f>
        <v>2021년 07월 02일</v>
      </c>
      <c r="AF17" t="str">
        <f t="shared" ref="AF17" si="133">O17</f>
        <v>2021년 07월 02일</v>
      </c>
      <c r="AG17" t="str">
        <f t="shared" ref="AG17" si="134">O17</f>
        <v>2021년 07월 02일</v>
      </c>
      <c r="AH17">
        <f t="shared" si="62"/>
        <v>16</v>
      </c>
    </row>
    <row r="18" spans="1:34">
      <c r="A18" s="7" t="s">
        <v>65</v>
      </c>
      <c r="B18" s="7" t="s">
        <v>66</v>
      </c>
      <c r="C18" s="10">
        <v>44384</v>
      </c>
      <c r="D18" s="10">
        <v>44384</v>
      </c>
      <c r="E18" s="10">
        <v>44384</v>
      </c>
      <c r="F18" s="10">
        <v>44384</v>
      </c>
      <c r="G18" s="17">
        <v>0</v>
      </c>
      <c r="I18" s="21" t="s">
        <v>39</v>
      </c>
      <c r="J18" s="8" t="str">
        <f t="shared" si="0"/>
        <v>금원(금영원)</v>
      </c>
      <c r="K18" s="8" t="str">
        <f t="shared" si="1"/>
        <v>금원(금영원)</v>
      </c>
      <c r="L18" t="str">
        <f t="shared" si="2"/>
        <v>2021년 07월 07일</v>
      </c>
      <c r="M18" s="4" t="str">
        <f t="shared" si="3"/>
        <v>2021년 07월 07일</v>
      </c>
      <c r="N18" s="4" t="str">
        <f t="shared" si="4"/>
        <v>2021년 07월 07일</v>
      </c>
      <c r="O18" t="str">
        <f t="shared" si="5"/>
        <v>2021년 07월 07일</v>
      </c>
      <c r="P18" t="str">
        <f t="shared" si="6"/>
        <v>서초네이처힐5단지 관리실 시스템 에어컨 보수</v>
      </c>
      <c r="Q18" t="str">
        <f t="shared" si="7"/>
        <v>서초네이처힐5단지 관리실 시스템 에어컨 보수</v>
      </c>
      <c r="R18" t="str">
        <f t="shared" si="8"/>
        <v>서초네이처힐5단지 관리실 시스템 에어컨 보수</v>
      </c>
      <c r="S18" t="str">
        <f t="shared" si="9"/>
        <v>금원(금영원)</v>
      </c>
      <c r="T18" t="str">
        <f t="shared" si="38"/>
        <v>금원(금영원)</v>
      </c>
      <c r="U18" t="str">
        <f t="shared" ref="U18" si="135">N18</f>
        <v>2021년 07월 07일</v>
      </c>
      <c r="V18" t="str">
        <f t="shared" ref="V18" si="136">L18</f>
        <v>2021년 07월 07일</v>
      </c>
      <c r="W18" t="str">
        <f t="shared" ref="W18" si="137">M18</f>
        <v>2021년 07월 07일</v>
      </c>
      <c r="X18" t="str">
        <f t="shared" ref="X18" si="138">M18</f>
        <v>2021년 07월 07일</v>
      </c>
      <c r="Y18" t="str">
        <f t="shared" ref="Y18" si="139">M18</f>
        <v>2021년 07월 07일</v>
      </c>
      <c r="Z18" t="str">
        <f t="shared" si="14"/>
        <v>서초네이처힐5단지 관리실 시스템 에어컨 보수</v>
      </c>
      <c r="AA18" t="str">
        <f t="shared" si="15"/>
        <v>서초네이처힐5단지 관리실 시스템 에어컨 보수</v>
      </c>
      <c r="AB18" t="str">
        <f t="shared" si="16"/>
        <v>금원(금영원)</v>
      </c>
      <c r="AC18" t="str">
        <f t="shared" si="17"/>
        <v>금원(금영원)</v>
      </c>
      <c r="AD18" t="str">
        <f t="shared" ref="AD18" si="140">M18</f>
        <v>2021년 07월 07일</v>
      </c>
      <c r="AE18" t="str">
        <f t="shared" ref="AE18" si="141">O18</f>
        <v>2021년 07월 07일</v>
      </c>
      <c r="AF18" t="str">
        <f t="shared" ref="AF18" si="142">O18</f>
        <v>2021년 07월 07일</v>
      </c>
      <c r="AG18" t="str">
        <f t="shared" ref="AG18" si="143">O18</f>
        <v>2021년 07월 07일</v>
      </c>
      <c r="AH18">
        <f t="shared" si="62"/>
        <v>17</v>
      </c>
    </row>
    <row r="19" spans="1:34">
      <c r="A19" s="7" t="s">
        <v>69</v>
      </c>
      <c r="B19" s="7" t="s">
        <v>70</v>
      </c>
      <c r="C19" s="10">
        <v>44385</v>
      </c>
      <c r="D19" s="10">
        <v>44385</v>
      </c>
      <c r="E19" s="10">
        <v>44385</v>
      </c>
      <c r="F19" s="10">
        <v>44385</v>
      </c>
      <c r="G19" s="17">
        <v>2367000</v>
      </c>
      <c r="I19" s="21" t="s">
        <v>68</v>
      </c>
      <c r="J19" s="8" t="str">
        <f t="shared" si="0"/>
        <v>금2,367,000원(금이백삼십육만칠천원)</v>
      </c>
      <c r="K19" s="8" t="str">
        <f t="shared" si="1"/>
        <v>금원(금영원)</v>
      </c>
      <c r="L19" t="str">
        <f t="shared" si="2"/>
        <v>2021년 07월 08일</v>
      </c>
      <c r="M19" s="4" t="str">
        <f t="shared" si="3"/>
        <v>2021년 07월 08일</v>
      </c>
      <c r="N19" s="4" t="str">
        <f t="shared" si="4"/>
        <v>2021년 07월 08일</v>
      </c>
      <c r="O19" t="str">
        <f t="shared" si="5"/>
        <v>2021년 07월 08일</v>
      </c>
      <c r="P19" t="str">
        <f t="shared" si="6"/>
        <v>방배SH빌 급수 제어시스템 보수</v>
      </c>
      <c r="Q19" t="str">
        <f t="shared" si="7"/>
        <v>방배SH빌 급수 제어시스템 보수</v>
      </c>
      <c r="R19" t="str">
        <f t="shared" si="8"/>
        <v>방배SH빌 급수 제어시스템 보수</v>
      </c>
      <c r="S19" t="str">
        <f t="shared" si="9"/>
        <v>금2,367,000원(금이백삼십육만칠천원)</v>
      </c>
      <c r="T19" t="str">
        <f t="shared" si="38"/>
        <v>금원(금영원)</v>
      </c>
      <c r="U19" t="str">
        <f t="shared" ref="U19" si="144">N19</f>
        <v>2021년 07월 08일</v>
      </c>
      <c r="V19" t="str">
        <f t="shared" ref="V19" si="145">L19</f>
        <v>2021년 07월 08일</v>
      </c>
      <c r="W19" t="str">
        <f t="shared" ref="W19" si="146">M19</f>
        <v>2021년 07월 08일</v>
      </c>
      <c r="X19" t="str">
        <f t="shared" ref="X19" si="147">M19</f>
        <v>2021년 07월 08일</v>
      </c>
      <c r="Y19" t="str">
        <f t="shared" ref="Y19" si="148">M19</f>
        <v>2021년 07월 08일</v>
      </c>
      <c r="Z19" t="str">
        <f t="shared" si="14"/>
        <v>방배SH빌 급수 제어시스템 보수</v>
      </c>
      <c r="AA19" t="str">
        <f t="shared" si="15"/>
        <v>방배SH빌 급수 제어시스템 보수</v>
      </c>
      <c r="AB19" t="str">
        <f t="shared" si="16"/>
        <v>금원(금영원)</v>
      </c>
      <c r="AC19" t="str">
        <f t="shared" si="17"/>
        <v>금원(금영원)</v>
      </c>
      <c r="AD19" t="str">
        <f t="shared" ref="AD19" si="149">M19</f>
        <v>2021년 07월 08일</v>
      </c>
      <c r="AE19" t="str">
        <f t="shared" ref="AE19" si="150">O19</f>
        <v>2021년 07월 08일</v>
      </c>
      <c r="AF19" t="str">
        <f t="shared" ref="AF19" si="151">O19</f>
        <v>2021년 07월 08일</v>
      </c>
      <c r="AG19" t="str">
        <f t="shared" ref="AG19" si="152">O19</f>
        <v>2021년 07월 08일</v>
      </c>
      <c r="AH19">
        <f t="shared" si="62"/>
        <v>18</v>
      </c>
    </row>
    <row r="20" spans="1:34">
      <c r="A20" s="7" t="s">
        <v>67</v>
      </c>
      <c r="B20" s="7" t="s">
        <v>52</v>
      </c>
      <c r="C20" s="10">
        <v>44385</v>
      </c>
      <c r="D20" s="10">
        <v>44385</v>
      </c>
      <c r="E20" s="10">
        <v>44385</v>
      </c>
      <c r="F20" s="10">
        <v>44385</v>
      </c>
      <c r="G20" s="17">
        <v>1155000</v>
      </c>
      <c r="I20" s="21" t="s">
        <v>71</v>
      </c>
      <c r="J20" s="8" t="str">
        <f t="shared" si="0"/>
        <v>금1,155,000원(금일백일십오만오천원)</v>
      </c>
      <c r="K20" s="8" t="str">
        <f t="shared" si="1"/>
        <v>금원(금영원)</v>
      </c>
      <c r="L20" t="str">
        <f t="shared" si="2"/>
        <v>2021년 07월 08일</v>
      </c>
      <c r="M20" s="4" t="str">
        <f t="shared" si="3"/>
        <v>2021년 07월 08일</v>
      </c>
      <c r="N20" s="4" t="str">
        <f t="shared" si="4"/>
        <v>2021년 07월 08일</v>
      </c>
      <c r="O20" t="str">
        <f t="shared" si="5"/>
        <v>2021년 07월 08일</v>
      </c>
      <c r="P20" t="str">
        <f t="shared" si="6"/>
        <v>방배SH빌 기계실 체크밸브 교체</v>
      </c>
      <c r="Q20" t="str">
        <f t="shared" si="7"/>
        <v>방배SH빌 기계실 체크밸브 교체</v>
      </c>
      <c r="R20" t="str">
        <f t="shared" si="8"/>
        <v>방배SH빌 기계실 체크밸브 교체</v>
      </c>
      <c r="S20" t="str">
        <f t="shared" si="9"/>
        <v>금1,155,000원(금일백일십오만오천원)</v>
      </c>
      <c r="T20" t="str">
        <f t="shared" si="38"/>
        <v>금원(금영원)</v>
      </c>
      <c r="U20" t="str">
        <f t="shared" ref="U20" si="153">N20</f>
        <v>2021년 07월 08일</v>
      </c>
      <c r="V20" t="str">
        <f t="shared" ref="V20" si="154">L20</f>
        <v>2021년 07월 08일</v>
      </c>
      <c r="W20" t="str">
        <f t="shared" ref="W20" si="155">M20</f>
        <v>2021년 07월 08일</v>
      </c>
      <c r="X20" t="str">
        <f t="shared" ref="X20" si="156">M20</f>
        <v>2021년 07월 08일</v>
      </c>
      <c r="Y20" t="str">
        <f t="shared" ref="Y20" si="157">M20</f>
        <v>2021년 07월 08일</v>
      </c>
      <c r="Z20" t="str">
        <f t="shared" si="14"/>
        <v>방배SH빌 기계실 체크밸브 교체</v>
      </c>
      <c r="AA20" t="str">
        <f t="shared" si="15"/>
        <v>방배SH빌 기계실 체크밸브 교체</v>
      </c>
      <c r="AB20" t="str">
        <f t="shared" si="16"/>
        <v>금원(금영원)</v>
      </c>
      <c r="AC20" t="str">
        <f t="shared" si="17"/>
        <v>금원(금영원)</v>
      </c>
      <c r="AD20" t="str">
        <f t="shared" ref="AD20" si="158">M20</f>
        <v>2021년 07월 08일</v>
      </c>
      <c r="AE20" t="str">
        <f t="shared" ref="AE20" si="159">O20</f>
        <v>2021년 07월 08일</v>
      </c>
      <c r="AF20" t="str">
        <f t="shared" ref="AF20" si="160">O20</f>
        <v>2021년 07월 08일</v>
      </c>
      <c r="AG20" t="str">
        <f t="shared" ref="AG20" si="161">O20</f>
        <v>2021년 07월 08일</v>
      </c>
      <c r="AH20">
        <f t="shared" si="62"/>
        <v>19</v>
      </c>
    </row>
    <row r="21" spans="1:34">
      <c r="A21" s="7" t="s">
        <v>72</v>
      </c>
      <c r="B21" s="7" t="s">
        <v>73</v>
      </c>
      <c r="C21" s="10">
        <v>44386</v>
      </c>
      <c r="D21" s="10">
        <v>44386</v>
      </c>
      <c r="E21" s="10">
        <v>44386</v>
      </c>
      <c r="F21" s="10">
        <v>44389</v>
      </c>
      <c r="G21" s="17">
        <v>800000</v>
      </c>
      <c r="I21" s="21" t="s">
        <v>74</v>
      </c>
      <c r="J21" s="8" t="str">
        <f t="shared" si="0"/>
        <v>금800,000원(금팔십만원)</v>
      </c>
      <c r="K21" s="8" t="str">
        <f t="shared" si="1"/>
        <v>금원(금영원)</v>
      </c>
      <c r="L21" t="str">
        <f t="shared" si="2"/>
        <v>2021년 07월 09일</v>
      </c>
      <c r="M21" s="4" t="str">
        <f t="shared" si="3"/>
        <v>2021년 07월 09일</v>
      </c>
      <c r="N21" s="4" t="str">
        <f t="shared" si="4"/>
        <v>2021년 07월 09일</v>
      </c>
      <c r="O21" t="str">
        <f t="shared" si="5"/>
        <v>2021년 07월 12일</v>
      </c>
      <c r="P21" t="str">
        <f t="shared" si="6"/>
        <v>양재리본타워2단지 후문 경비실 에어컨 교체</v>
      </c>
      <c r="Q21" t="str">
        <f t="shared" si="7"/>
        <v>양재리본타워2단지 후문 경비실 에어컨 교체</v>
      </c>
      <c r="R21" t="str">
        <f t="shared" si="8"/>
        <v>양재리본타워2단지 후문 경비실 에어컨 교체</v>
      </c>
      <c r="S21" t="str">
        <f t="shared" si="9"/>
        <v>금800,000원(금팔십만원)</v>
      </c>
      <c r="T21" t="str">
        <f t="shared" si="38"/>
        <v>금원(금영원)</v>
      </c>
      <c r="U21" t="str">
        <f t="shared" ref="U21" si="162">N21</f>
        <v>2021년 07월 09일</v>
      </c>
      <c r="V21" t="str">
        <f t="shared" ref="V21" si="163">L21</f>
        <v>2021년 07월 09일</v>
      </c>
      <c r="W21" t="str">
        <f t="shared" ref="W21" si="164">M21</f>
        <v>2021년 07월 09일</v>
      </c>
      <c r="X21" t="str">
        <f t="shared" ref="X21" si="165">M21</f>
        <v>2021년 07월 09일</v>
      </c>
      <c r="Y21" t="str">
        <f t="shared" ref="Y21" si="166">M21</f>
        <v>2021년 07월 09일</v>
      </c>
      <c r="Z21" t="str">
        <f t="shared" si="14"/>
        <v>양재리본타워2단지 후문 경비실 에어컨 교체</v>
      </c>
      <c r="AA21" t="str">
        <f t="shared" si="15"/>
        <v>양재리본타워2단지 후문 경비실 에어컨 교체</v>
      </c>
      <c r="AB21" t="str">
        <f t="shared" si="16"/>
        <v>금원(금영원)</v>
      </c>
      <c r="AC21" t="str">
        <f t="shared" si="17"/>
        <v>금원(금영원)</v>
      </c>
      <c r="AD21" t="str">
        <f t="shared" ref="AD21" si="167">M21</f>
        <v>2021년 07월 09일</v>
      </c>
      <c r="AE21" t="str">
        <f t="shared" ref="AE21" si="168">O21</f>
        <v>2021년 07월 12일</v>
      </c>
      <c r="AF21" t="str">
        <f t="shared" ref="AF21" si="169">O21</f>
        <v>2021년 07월 12일</v>
      </c>
      <c r="AG21" t="str">
        <f t="shared" ref="AG21" si="170">O21</f>
        <v>2021년 07월 12일</v>
      </c>
      <c r="AH21">
        <f t="shared" si="62"/>
        <v>20</v>
      </c>
    </row>
    <row r="22" spans="1:34">
      <c r="A22" s="7" t="s">
        <v>75</v>
      </c>
      <c r="B22" s="7" t="s">
        <v>76</v>
      </c>
      <c r="C22" s="10">
        <v>44376</v>
      </c>
      <c r="D22" s="10">
        <v>44378</v>
      </c>
      <c r="E22" s="10">
        <v>44376</v>
      </c>
      <c r="F22" s="10">
        <v>44389</v>
      </c>
      <c r="G22" s="17">
        <v>17649000</v>
      </c>
      <c r="I22" s="21" t="s">
        <v>50</v>
      </c>
      <c r="J22" s="8" t="str">
        <f t="shared" si="0"/>
        <v>금17,649,000원(금일천칠백육십사만구천원)</v>
      </c>
      <c r="K22" s="8" t="str">
        <f t="shared" si="1"/>
        <v>금원(금영원)</v>
      </c>
      <c r="L22" t="str">
        <f t="shared" si="2"/>
        <v>2021년 06월 29일</v>
      </c>
      <c r="M22" s="4" t="str">
        <f t="shared" si="3"/>
        <v>2021년 07월 01일</v>
      </c>
      <c r="N22" s="4" t="str">
        <f t="shared" si="4"/>
        <v>2021년 06월 29일</v>
      </c>
      <c r="O22" t="str">
        <f t="shared" si="5"/>
        <v>2021년 07월 12일</v>
      </c>
      <c r="P22" t="str">
        <f t="shared" si="6"/>
        <v>양재리본타워1단지 승강기 102동3호기 시브,로프 교체</v>
      </c>
      <c r="Q22" t="str">
        <f t="shared" si="7"/>
        <v>양재리본타워1단지 승강기 102동3호기 시브,로프 교체</v>
      </c>
      <c r="R22" t="str">
        <f t="shared" si="8"/>
        <v>양재리본타워1단지 승강기 102동3호기 시브,로프 교체</v>
      </c>
      <c r="S22" t="str">
        <f t="shared" si="9"/>
        <v>금17,649,000원(금일천칠백육십사만구천원)</v>
      </c>
      <c r="T22" t="str">
        <f t="shared" si="38"/>
        <v>금원(금영원)</v>
      </c>
      <c r="U22" t="str">
        <f t="shared" ref="U22" si="171">N22</f>
        <v>2021년 06월 29일</v>
      </c>
      <c r="V22" t="str">
        <f t="shared" ref="V22" si="172">L22</f>
        <v>2021년 06월 29일</v>
      </c>
      <c r="W22" t="str">
        <f t="shared" ref="W22" si="173">M22</f>
        <v>2021년 07월 01일</v>
      </c>
      <c r="X22" t="str">
        <f t="shared" ref="X22" si="174">M22</f>
        <v>2021년 07월 01일</v>
      </c>
      <c r="Y22" t="str">
        <f t="shared" ref="Y22" si="175">M22</f>
        <v>2021년 07월 01일</v>
      </c>
      <c r="Z22" t="str">
        <f t="shared" si="14"/>
        <v>양재리본타워1단지 승강기 102동3호기 시브,로프 교체</v>
      </c>
      <c r="AA22" t="str">
        <f t="shared" si="15"/>
        <v>양재리본타워1단지 승강기 102동3호기 시브,로프 교체</v>
      </c>
      <c r="AB22" t="str">
        <f t="shared" si="16"/>
        <v>금원(금영원)</v>
      </c>
      <c r="AC22" t="str">
        <f t="shared" si="17"/>
        <v>금원(금영원)</v>
      </c>
      <c r="AD22" t="str">
        <f t="shared" ref="AD22" si="176">M22</f>
        <v>2021년 07월 01일</v>
      </c>
      <c r="AE22" t="str">
        <f t="shared" ref="AE22" si="177">O22</f>
        <v>2021년 07월 12일</v>
      </c>
      <c r="AF22" t="str">
        <f t="shared" ref="AF22" si="178">O22</f>
        <v>2021년 07월 12일</v>
      </c>
      <c r="AG22" t="str">
        <f t="shared" ref="AG22" si="179">O22</f>
        <v>2021년 07월 12일</v>
      </c>
      <c r="AH22">
        <f t="shared" si="62"/>
        <v>21</v>
      </c>
    </row>
    <row r="23" spans="1:34">
      <c r="A23" s="7" t="s">
        <v>77</v>
      </c>
      <c r="B23" s="7" t="s">
        <v>78</v>
      </c>
      <c r="C23" s="10">
        <v>44398</v>
      </c>
      <c r="D23" s="10">
        <v>44398</v>
      </c>
      <c r="E23" s="10">
        <v>44398</v>
      </c>
      <c r="F23" s="10">
        <v>44399</v>
      </c>
      <c r="G23" s="17">
        <v>1424500</v>
      </c>
      <c r="I23" s="21" t="s">
        <v>79</v>
      </c>
      <c r="J23" s="8" t="str">
        <f t="shared" si="0"/>
        <v>금1,424,500원(금일백사십이만사천오백원)</v>
      </c>
      <c r="K23" s="8" t="str">
        <f t="shared" si="1"/>
        <v>금원(금영원)</v>
      </c>
      <c r="L23" t="str">
        <f t="shared" si="2"/>
        <v>2021년 07월 21일</v>
      </c>
      <c r="M23" s="4" t="str">
        <f t="shared" si="3"/>
        <v>2021년 07월 21일</v>
      </c>
      <c r="N23" s="4" t="str">
        <f t="shared" si="4"/>
        <v>2021년 07월 21일</v>
      </c>
      <c r="O23" t="str">
        <f t="shared" si="5"/>
        <v>2021년 07월 22일</v>
      </c>
      <c r="P23" t="str">
        <f t="shared" si="6"/>
        <v xml:space="preserve">양재리본타워2단지 정화조 오배수펌프 교체 </v>
      </c>
      <c r="Q23" t="str">
        <f t="shared" si="7"/>
        <v xml:space="preserve">양재리본타워2단지 정화조 오배수펌프 교체 </v>
      </c>
      <c r="R23" t="str">
        <f t="shared" si="8"/>
        <v xml:space="preserve">양재리본타워2단지 정화조 오배수펌프 교체 </v>
      </c>
      <c r="S23" t="str">
        <f t="shared" si="9"/>
        <v>금1,424,500원(금일백사십이만사천오백원)</v>
      </c>
      <c r="T23" t="str">
        <f t="shared" si="38"/>
        <v>금원(금영원)</v>
      </c>
      <c r="U23" t="str">
        <f t="shared" ref="U23" si="180">N23</f>
        <v>2021년 07월 21일</v>
      </c>
      <c r="V23" t="str">
        <f t="shared" ref="V23" si="181">L23</f>
        <v>2021년 07월 21일</v>
      </c>
      <c r="W23" t="str">
        <f t="shared" ref="W23" si="182">M23</f>
        <v>2021년 07월 21일</v>
      </c>
      <c r="X23" t="str">
        <f t="shared" ref="X23" si="183">M23</f>
        <v>2021년 07월 21일</v>
      </c>
      <c r="Y23" t="str">
        <f t="shared" ref="Y23" si="184">M23</f>
        <v>2021년 07월 21일</v>
      </c>
      <c r="Z23" t="str">
        <f t="shared" si="14"/>
        <v xml:space="preserve">양재리본타워2단지 정화조 오배수펌프 교체 </v>
      </c>
      <c r="AA23" t="str">
        <f t="shared" si="15"/>
        <v xml:space="preserve">양재리본타워2단지 정화조 오배수펌프 교체 </v>
      </c>
      <c r="AB23" t="str">
        <f t="shared" si="16"/>
        <v>금원(금영원)</v>
      </c>
      <c r="AC23" t="str">
        <f t="shared" si="17"/>
        <v>금원(금영원)</v>
      </c>
      <c r="AD23" t="str">
        <f t="shared" ref="AD23" si="185">M23</f>
        <v>2021년 07월 21일</v>
      </c>
      <c r="AE23" t="str">
        <f t="shared" ref="AE23" si="186">O23</f>
        <v>2021년 07월 22일</v>
      </c>
      <c r="AF23" t="str">
        <f t="shared" ref="AF23" si="187">O23</f>
        <v>2021년 07월 22일</v>
      </c>
      <c r="AG23" t="str">
        <f t="shared" ref="AG23" si="188">O23</f>
        <v>2021년 07월 22일</v>
      </c>
      <c r="AH23">
        <f t="shared" si="62"/>
        <v>22</v>
      </c>
    </row>
    <row r="24" spans="1:34">
      <c r="A24" s="7" t="s">
        <v>80</v>
      </c>
      <c r="B24" s="7" t="s">
        <v>76</v>
      </c>
      <c r="C24" s="10">
        <v>44403</v>
      </c>
      <c r="D24" s="10">
        <v>44403</v>
      </c>
      <c r="E24" s="10">
        <v>44403</v>
      </c>
      <c r="F24" s="10">
        <v>44404</v>
      </c>
      <c r="G24" s="17">
        <v>3971000</v>
      </c>
      <c r="I24" s="21" t="s">
        <v>74</v>
      </c>
      <c r="J24" s="8" t="str">
        <f t="shared" si="0"/>
        <v>금3,971,000원(금삼백구십칠만일천원)</v>
      </c>
      <c r="K24" s="8" t="str">
        <f t="shared" si="1"/>
        <v>금원(금영원)</v>
      </c>
      <c r="L24" t="str">
        <f t="shared" si="2"/>
        <v>2021년 07월 26일</v>
      </c>
      <c r="M24" s="4" t="str">
        <f t="shared" si="3"/>
        <v>2021년 07월 26일</v>
      </c>
      <c r="N24" s="4" t="str">
        <f t="shared" si="4"/>
        <v>2021년 07월 26일</v>
      </c>
      <c r="O24" t="str">
        <f t="shared" si="5"/>
        <v>2021년 07월 27일</v>
      </c>
      <c r="P24" t="str">
        <f t="shared" si="6"/>
        <v>양재리본타워2단지 승강기 202동1호기 카내 부품 교체</v>
      </c>
      <c r="Q24" t="str">
        <f t="shared" si="7"/>
        <v>양재리본타워2단지 승강기 202동1호기 카내 부품 교체</v>
      </c>
      <c r="R24" t="str">
        <f t="shared" si="8"/>
        <v>양재리본타워2단지 승강기 202동1호기 카내 부품 교체</v>
      </c>
      <c r="S24" t="str">
        <f t="shared" si="9"/>
        <v>금3,971,000원(금삼백구십칠만일천원)</v>
      </c>
      <c r="T24" t="str">
        <f t="shared" si="38"/>
        <v>금원(금영원)</v>
      </c>
      <c r="U24" t="str">
        <f t="shared" ref="U24" si="189">N24</f>
        <v>2021년 07월 26일</v>
      </c>
      <c r="V24" t="str">
        <f t="shared" ref="V24" si="190">L24</f>
        <v>2021년 07월 26일</v>
      </c>
      <c r="W24" t="str">
        <f t="shared" ref="W24" si="191">M24</f>
        <v>2021년 07월 26일</v>
      </c>
      <c r="X24" t="str">
        <f t="shared" ref="X24" si="192">M24</f>
        <v>2021년 07월 26일</v>
      </c>
      <c r="Y24" t="str">
        <f t="shared" ref="Y24" si="193">M24</f>
        <v>2021년 07월 26일</v>
      </c>
      <c r="Z24" t="str">
        <f t="shared" si="14"/>
        <v>양재리본타워2단지 승강기 202동1호기 카내 부품 교체</v>
      </c>
      <c r="AA24" t="str">
        <f t="shared" si="15"/>
        <v>양재리본타워2단지 승강기 202동1호기 카내 부품 교체</v>
      </c>
      <c r="AB24" t="str">
        <f t="shared" si="16"/>
        <v>금원(금영원)</v>
      </c>
      <c r="AC24" t="str">
        <f t="shared" si="17"/>
        <v>금원(금영원)</v>
      </c>
      <c r="AD24" t="str">
        <f t="shared" ref="AD24" si="194">M24</f>
        <v>2021년 07월 26일</v>
      </c>
      <c r="AE24" t="str">
        <f t="shared" ref="AE24" si="195">O24</f>
        <v>2021년 07월 27일</v>
      </c>
      <c r="AF24" t="str">
        <f t="shared" ref="AF24" si="196">O24</f>
        <v>2021년 07월 27일</v>
      </c>
      <c r="AG24" t="str">
        <f t="shared" ref="AG24" si="197">O24</f>
        <v>2021년 07월 27일</v>
      </c>
      <c r="AH24">
        <f t="shared" si="62"/>
        <v>23</v>
      </c>
    </row>
    <row r="25" spans="1:34">
      <c r="A25" s="7" t="s">
        <v>81</v>
      </c>
      <c r="B25" s="7" t="s">
        <v>82</v>
      </c>
      <c r="C25" s="10">
        <v>44288</v>
      </c>
      <c r="D25" s="10">
        <v>44402</v>
      </c>
      <c r="E25" s="10">
        <v>44288</v>
      </c>
      <c r="F25" s="10">
        <v>44407</v>
      </c>
      <c r="G25" s="17">
        <v>2794000</v>
      </c>
      <c r="I25" s="21" t="s">
        <v>83</v>
      </c>
      <c r="J25" s="8" t="str">
        <f t="shared" si="0"/>
        <v>금2,794,000원(금이백칠십구만사천원)</v>
      </c>
      <c r="K25" s="8" t="str">
        <f t="shared" si="1"/>
        <v>금원(금영원)</v>
      </c>
      <c r="L25" t="str">
        <f t="shared" si="2"/>
        <v>2021년 04월 02일</v>
      </c>
      <c r="M25" s="4" t="str">
        <f t="shared" si="3"/>
        <v>2021년 07월 25일</v>
      </c>
      <c r="N25" s="4" t="str">
        <f t="shared" si="4"/>
        <v>2021년 04월 02일</v>
      </c>
      <c r="O25" t="str">
        <f t="shared" si="5"/>
        <v>2021년 07월 30일</v>
      </c>
      <c r="P25" t="str">
        <f t="shared" si="6"/>
        <v>양재리본타워1단지 102-702외 7건 스프링클러 등 동배관 보수</v>
      </c>
      <c r="Q25" t="str">
        <f t="shared" si="7"/>
        <v>양재리본타워1단지 102-702외 7건 스프링클러 등 동배관 보수</v>
      </c>
      <c r="R25" t="str">
        <f t="shared" si="8"/>
        <v>양재리본타워1단지 102-702외 7건 스프링클러 등 동배관 보수</v>
      </c>
      <c r="S25" t="str">
        <f t="shared" si="9"/>
        <v>금2,794,000원(금이백칠십구만사천원)</v>
      </c>
      <c r="T25" t="str">
        <f t="shared" si="38"/>
        <v>금원(금영원)</v>
      </c>
      <c r="U25" t="str">
        <f t="shared" ref="U25" si="198">N25</f>
        <v>2021년 04월 02일</v>
      </c>
      <c r="V25" t="str">
        <f t="shared" ref="V25" si="199">L25</f>
        <v>2021년 04월 02일</v>
      </c>
      <c r="W25" t="str">
        <f t="shared" ref="W25" si="200">M25</f>
        <v>2021년 07월 25일</v>
      </c>
      <c r="X25" t="str">
        <f t="shared" ref="X25" si="201">M25</f>
        <v>2021년 07월 25일</v>
      </c>
      <c r="Y25" t="str">
        <f t="shared" ref="Y25" si="202">M25</f>
        <v>2021년 07월 25일</v>
      </c>
      <c r="Z25" t="str">
        <f t="shared" si="14"/>
        <v>양재리본타워1단지 102-702외 7건 스프링클러 등 동배관 보수</v>
      </c>
      <c r="AA25" t="str">
        <f t="shared" si="15"/>
        <v>양재리본타워1단지 102-702외 7건 스프링클러 등 동배관 보수</v>
      </c>
      <c r="AB25" t="str">
        <f t="shared" si="16"/>
        <v>금원(금영원)</v>
      </c>
      <c r="AC25" t="str">
        <f t="shared" si="17"/>
        <v>금원(금영원)</v>
      </c>
      <c r="AD25" t="str">
        <f t="shared" ref="AD25" si="203">M25</f>
        <v>2021년 07월 25일</v>
      </c>
      <c r="AE25" t="str">
        <f t="shared" ref="AE25" si="204">O25</f>
        <v>2021년 07월 30일</v>
      </c>
      <c r="AF25" t="str">
        <f t="shared" ref="AF25" si="205">O25</f>
        <v>2021년 07월 30일</v>
      </c>
      <c r="AG25" t="str">
        <f t="shared" ref="AG25" si="206">O25</f>
        <v>2021년 07월 30일</v>
      </c>
      <c r="AH25">
        <f t="shared" si="62"/>
        <v>24</v>
      </c>
    </row>
    <row r="26" spans="1:34">
      <c r="A26" s="7" t="s">
        <v>84</v>
      </c>
      <c r="B26" s="7" t="s">
        <v>85</v>
      </c>
      <c r="C26" s="10">
        <v>44415</v>
      </c>
      <c r="D26" s="10">
        <v>44415</v>
      </c>
      <c r="E26" s="10">
        <v>44415</v>
      </c>
      <c r="F26" s="10">
        <v>44428</v>
      </c>
      <c r="G26" s="17">
        <v>1485000</v>
      </c>
      <c r="I26" s="21" t="s">
        <v>86</v>
      </c>
      <c r="J26" s="8" t="str">
        <f t="shared" si="0"/>
        <v>금1,485,000원(금일백사십팔만오천원)</v>
      </c>
      <c r="K26" s="8" t="str">
        <f t="shared" si="1"/>
        <v>금원(금영원)</v>
      </c>
      <c r="L26" t="str">
        <f t="shared" si="2"/>
        <v>2021년 08월 07일</v>
      </c>
      <c r="M26" s="4" t="str">
        <f t="shared" si="3"/>
        <v>2021년 08월 07일</v>
      </c>
      <c r="N26" s="4" t="str">
        <f t="shared" si="4"/>
        <v>2021년 08월 07일</v>
      </c>
      <c r="O26" t="str">
        <f t="shared" si="5"/>
        <v>2021년 08월 20일</v>
      </c>
      <c r="P26" t="str">
        <f t="shared" si="6"/>
        <v>양재리본타워2단지 2021년도 소방지적사항 보수</v>
      </c>
      <c r="Q26" t="str">
        <f t="shared" si="7"/>
        <v>양재리본타워2단지 2021년도 소방지적사항 보수</v>
      </c>
      <c r="R26" t="str">
        <f t="shared" si="8"/>
        <v>양재리본타워2단지 2021년도 소방지적사항 보수</v>
      </c>
      <c r="S26" t="str">
        <f t="shared" si="9"/>
        <v>금1,485,000원(금일백사십팔만오천원)</v>
      </c>
      <c r="T26" t="str">
        <f t="shared" si="38"/>
        <v>금원(금영원)</v>
      </c>
      <c r="U26" t="str">
        <f t="shared" ref="U26" si="207">N26</f>
        <v>2021년 08월 07일</v>
      </c>
      <c r="V26" t="str">
        <f t="shared" ref="V26" si="208">L26</f>
        <v>2021년 08월 07일</v>
      </c>
      <c r="W26" t="str">
        <f t="shared" ref="W26" si="209">M26</f>
        <v>2021년 08월 07일</v>
      </c>
      <c r="X26" t="str">
        <f t="shared" ref="X26" si="210">M26</f>
        <v>2021년 08월 07일</v>
      </c>
      <c r="Y26" t="str">
        <f t="shared" ref="Y26" si="211">M26</f>
        <v>2021년 08월 07일</v>
      </c>
      <c r="Z26" t="str">
        <f t="shared" si="14"/>
        <v>양재리본타워2단지 2021년도 소방지적사항 보수</v>
      </c>
      <c r="AA26" t="str">
        <f t="shared" si="15"/>
        <v>양재리본타워2단지 2021년도 소방지적사항 보수</v>
      </c>
      <c r="AB26" t="str">
        <f t="shared" si="16"/>
        <v>금원(금영원)</v>
      </c>
      <c r="AC26" t="str">
        <f t="shared" si="17"/>
        <v>금원(금영원)</v>
      </c>
      <c r="AD26" t="str">
        <f t="shared" ref="AD26" si="212">M26</f>
        <v>2021년 08월 07일</v>
      </c>
      <c r="AE26" t="str">
        <f t="shared" ref="AE26" si="213">O26</f>
        <v>2021년 08월 20일</v>
      </c>
      <c r="AF26" t="str">
        <f t="shared" ref="AF26" si="214">O26</f>
        <v>2021년 08월 20일</v>
      </c>
      <c r="AG26" t="str">
        <f t="shared" ref="AG26" si="215">O26</f>
        <v>2021년 08월 20일</v>
      </c>
      <c r="AH26">
        <f t="shared" si="62"/>
        <v>25</v>
      </c>
    </row>
    <row r="27" spans="1:34">
      <c r="A27" s="7" t="s">
        <v>87</v>
      </c>
      <c r="B27" s="7" t="s">
        <v>52</v>
      </c>
      <c r="C27" s="10">
        <v>44428</v>
      </c>
      <c r="D27" s="10">
        <v>44428</v>
      </c>
      <c r="E27" s="10">
        <v>44428</v>
      </c>
      <c r="F27" s="10">
        <v>44428</v>
      </c>
      <c r="G27" s="17">
        <v>3080000</v>
      </c>
      <c r="I27" s="21" t="s">
        <v>50</v>
      </c>
      <c r="J27" s="8" t="str">
        <f t="shared" si="0"/>
        <v>금3,080,000원(금삼백팔만원)</v>
      </c>
      <c r="K27" s="8" t="str">
        <f t="shared" si="1"/>
        <v>금원(금영원)</v>
      </c>
      <c r="L27" t="str">
        <f t="shared" si="2"/>
        <v>2021년 08월 20일</v>
      </c>
      <c r="M27" s="4" t="str">
        <f t="shared" si="3"/>
        <v>2021년 08월 20일</v>
      </c>
      <c r="N27" s="4" t="str">
        <f t="shared" si="4"/>
        <v>2021년 08월 20일</v>
      </c>
      <c r="O27" t="str">
        <f t="shared" si="5"/>
        <v>2021년 08월 20일</v>
      </c>
      <c r="P27" t="str">
        <f t="shared" si="6"/>
        <v>양재리본타워1단지 기계실 급수용 팽창탱크 교체</v>
      </c>
      <c r="Q27" t="str">
        <f t="shared" si="7"/>
        <v>양재리본타워1단지 기계실 급수용 팽창탱크 교체</v>
      </c>
      <c r="R27" t="str">
        <f t="shared" si="8"/>
        <v>양재리본타워1단지 기계실 급수용 팽창탱크 교체</v>
      </c>
      <c r="S27" t="str">
        <f t="shared" si="9"/>
        <v>금3,080,000원(금삼백팔만원)</v>
      </c>
      <c r="T27" t="str">
        <f t="shared" si="38"/>
        <v>금원(금영원)</v>
      </c>
      <c r="U27" t="str">
        <f t="shared" ref="U27" si="216">N27</f>
        <v>2021년 08월 20일</v>
      </c>
      <c r="V27" t="str">
        <f t="shared" ref="V27" si="217">L27</f>
        <v>2021년 08월 20일</v>
      </c>
      <c r="W27" t="str">
        <f t="shared" ref="W27" si="218">M27</f>
        <v>2021년 08월 20일</v>
      </c>
      <c r="X27" t="str">
        <f t="shared" ref="X27" si="219">M27</f>
        <v>2021년 08월 20일</v>
      </c>
      <c r="Y27" t="str">
        <f t="shared" ref="Y27" si="220">M27</f>
        <v>2021년 08월 20일</v>
      </c>
      <c r="Z27" t="str">
        <f t="shared" si="14"/>
        <v>양재리본타워1단지 기계실 급수용 팽창탱크 교체</v>
      </c>
      <c r="AA27" t="str">
        <f t="shared" si="15"/>
        <v>양재리본타워1단지 기계실 급수용 팽창탱크 교체</v>
      </c>
      <c r="AB27" t="str">
        <f t="shared" si="16"/>
        <v>금원(금영원)</v>
      </c>
      <c r="AC27" t="str">
        <f t="shared" si="17"/>
        <v>금원(금영원)</v>
      </c>
      <c r="AD27" t="str">
        <f t="shared" ref="AD27" si="221">M27</f>
        <v>2021년 08월 20일</v>
      </c>
      <c r="AE27" t="str">
        <f t="shared" ref="AE27" si="222">O27</f>
        <v>2021년 08월 20일</v>
      </c>
      <c r="AF27" t="str">
        <f t="shared" ref="AF27" si="223">O27</f>
        <v>2021년 08월 20일</v>
      </c>
      <c r="AG27" t="str">
        <f t="shared" ref="AG27" si="224">O27</f>
        <v>2021년 08월 20일</v>
      </c>
      <c r="AH27">
        <f t="shared" si="62"/>
        <v>26</v>
      </c>
    </row>
    <row r="28" spans="1:34">
      <c r="A28" s="7" t="s">
        <v>88</v>
      </c>
      <c r="B28" s="7" t="s">
        <v>89</v>
      </c>
      <c r="C28" s="10">
        <v>44411</v>
      </c>
      <c r="D28" s="10">
        <v>44411</v>
      </c>
      <c r="E28" s="10">
        <v>44411</v>
      </c>
      <c r="F28" s="10">
        <v>44428</v>
      </c>
      <c r="G28" s="17">
        <v>1045000</v>
      </c>
      <c r="I28" s="21" t="s">
        <v>90</v>
      </c>
      <c r="J28" s="8" t="str">
        <f t="shared" si="0"/>
        <v>금1,045,000원(금일백사만오천원)</v>
      </c>
      <c r="K28" s="8" t="str">
        <f t="shared" si="1"/>
        <v>금원(금영원)</v>
      </c>
      <c r="L28" t="str">
        <f t="shared" si="2"/>
        <v>2021년 08월 03일</v>
      </c>
      <c r="M28" s="4" t="str">
        <f t="shared" si="3"/>
        <v>2021년 08월 03일</v>
      </c>
      <c r="N28" s="4" t="str">
        <f t="shared" si="4"/>
        <v>2021년 08월 03일</v>
      </c>
      <c r="O28" t="str">
        <f t="shared" si="5"/>
        <v>2021년 08월 20일</v>
      </c>
      <c r="P28" t="str">
        <f t="shared" si="6"/>
        <v>서초네이처힐5단지 501-1403 화재세대 보수공사(에어컨 배관)</v>
      </c>
      <c r="Q28" t="str">
        <f t="shared" si="7"/>
        <v>서초네이처힐5단지 501-1403 화재세대 보수공사(에어컨 배관)</v>
      </c>
      <c r="R28" t="str">
        <f t="shared" si="8"/>
        <v>서초네이처힐5단지 501-1403 화재세대 보수공사(에어컨 배관)</v>
      </c>
      <c r="S28" t="str">
        <f t="shared" si="9"/>
        <v>금1,045,000원(금일백사만오천원)</v>
      </c>
      <c r="T28" t="str">
        <f t="shared" si="38"/>
        <v>금원(금영원)</v>
      </c>
      <c r="U28" t="str">
        <f t="shared" ref="U28" si="225">N28</f>
        <v>2021년 08월 03일</v>
      </c>
      <c r="V28" t="str">
        <f t="shared" ref="V28" si="226">L28</f>
        <v>2021년 08월 03일</v>
      </c>
      <c r="W28" t="str">
        <f t="shared" ref="W28" si="227">M28</f>
        <v>2021년 08월 03일</v>
      </c>
      <c r="X28" t="str">
        <f t="shared" ref="X28" si="228">M28</f>
        <v>2021년 08월 03일</v>
      </c>
      <c r="Y28" t="str">
        <f t="shared" ref="Y28" si="229">M28</f>
        <v>2021년 08월 03일</v>
      </c>
      <c r="Z28" t="str">
        <f t="shared" si="14"/>
        <v>서초네이처힐5단지 501-1403 화재세대 보수공사(에어컨 배관)</v>
      </c>
      <c r="AA28" t="str">
        <f t="shared" si="15"/>
        <v>서초네이처힐5단지 501-1403 화재세대 보수공사(에어컨 배관)</v>
      </c>
      <c r="AB28" t="str">
        <f t="shared" si="16"/>
        <v>금원(금영원)</v>
      </c>
      <c r="AC28" t="str">
        <f t="shared" si="17"/>
        <v>금원(금영원)</v>
      </c>
      <c r="AD28" t="str">
        <f t="shared" ref="AD28" si="230">M28</f>
        <v>2021년 08월 03일</v>
      </c>
      <c r="AE28" t="str">
        <f t="shared" ref="AE28" si="231">O28</f>
        <v>2021년 08월 20일</v>
      </c>
      <c r="AF28" t="str">
        <f t="shared" ref="AF28" si="232">O28</f>
        <v>2021년 08월 20일</v>
      </c>
      <c r="AG28" t="str">
        <f t="shared" ref="AG28" si="233">O28</f>
        <v>2021년 08월 20일</v>
      </c>
      <c r="AH28">
        <f t="shared" si="62"/>
        <v>27</v>
      </c>
    </row>
    <row r="29" spans="1:34">
      <c r="A29" s="7" t="s">
        <v>91</v>
      </c>
      <c r="B29" s="7" t="s">
        <v>92</v>
      </c>
      <c r="C29" s="10">
        <v>44436</v>
      </c>
      <c r="D29" s="10">
        <v>44436</v>
      </c>
      <c r="E29" s="10">
        <v>44436</v>
      </c>
      <c r="F29" s="10">
        <v>44438</v>
      </c>
      <c r="G29" s="17">
        <v>265000</v>
      </c>
      <c r="I29" s="21" t="s">
        <v>44</v>
      </c>
      <c r="J29" s="8" t="str">
        <f t="shared" si="0"/>
        <v>금265,000원(금이십육만오천원)</v>
      </c>
      <c r="K29" s="8" t="str">
        <f t="shared" si="1"/>
        <v>금원(금영원)</v>
      </c>
      <c r="L29" t="str">
        <f t="shared" si="2"/>
        <v>2021년 08월 28일</v>
      </c>
      <c r="M29" s="4" t="str">
        <f t="shared" si="3"/>
        <v>2021년 08월 28일</v>
      </c>
      <c r="N29" s="4" t="str">
        <f t="shared" si="4"/>
        <v>2021년 08월 28일</v>
      </c>
      <c r="O29" t="str">
        <f t="shared" si="5"/>
        <v>2021년 08월 30일</v>
      </c>
      <c r="P29" t="str">
        <f t="shared" si="6"/>
        <v xml:space="preserve">서초네이처힐가든 105-301 욕실 환풍기 및 보일러 콘센트 누전 보수 </v>
      </c>
      <c r="Q29" t="str">
        <f t="shared" si="7"/>
        <v xml:space="preserve">서초네이처힐가든 105-301 욕실 환풍기 및 보일러 콘센트 누전 보수 </v>
      </c>
      <c r="R29" t="str">
        <f t="shared" si="8"/>
        <v xml:space="preserve">서초네이처힐가든 105-301 욕실 환풍기 및 보일러 콘센트 누전 보수 </v>
      </c>
      <c r="S29" t="str">
        <f t="shared" si="9"/>
        <v>금265,000원(금이십육만오천원)</v>
      </c>
      <c r="T29" t="str">
        <f t="shared" si="38"/>
        <v>금원(금영원)</v>
      </c>
      <c r="U29" t="str">
        <f t="shared" ref="U29" si="234">N29</f>
        <v>2021년 08월 28일</v>
      </c>
      <c r="V29" t="str">
        <f t="shared" ref="V29" si="235">L29</f>
        <v>2021년 08월 28일</v>
      </c>
      <c r="W29" t="str">
        <f t="shared" ref="W29" si="236">M29</f>
        <v>2021년 08월 28일</v>
      </c>
      <c r="X29" t="str">
        <f t="shared" ref="X29" si="237">M29</f>
        <v>2021년 08월 28일</v>
      </c>
      <c r="Y29" t="str">
        <f t="shared" ref="Y29" si="238">M29</f>
        <v>2021년 08월 28일</v>
      </c>
      <c r="Z29" t="str">
        <f t="shared" si="14"/>
        <v xml:space="preserve">서초네이처힐가든 105-301 욕실 환풍기 및 보일러 콘센트 누전 보수 </v>
      </c>
      <c r="AA29" t="str">
        <f t="shared" si="15"/>
        <v xml:space="preserve">서초네이처힐가든 105-301 욕실 환풍기 및 보일러 콘센트 누전 보수 </v>
      </c>
      <c r="AB29" t="str">
        <f t="shared" si="16"/>
        <v>금원(금영원)</v>
      </c>
      <c r="AC29" t="str">
        <f t="shared" si="17"/>
        <v>금원(금영원)</v>
      </c>
      <c r="AD29" t="str">
        <f t="shared" ref="AD29" si="239">M29</f>
        <v>2021년 08월 28일</v>
      </c>
      <c r="AE29" t="str">
        <f t="shared" ref="AE29" si="240">O29</f>
        <v>2021년 08월 30일</v>
      </c>
      <c r="AF29" t="str">
        <f t="shared" ref="AF29" si="241">O29</f>
        <v>2021년 08월 30일</v>
      </c>
      <c r="AG29" t="str">
        <f t="shared" ref="AG29" si="242">O29</f>
        <v>2021년 08월 30일</v>
      </c>
      <c r="AH29">
        <f t="shared" si="62"/>
        <v>28</v>
      </c>
    </row>
    <row r="30" spans="1:34">
      <c r="A30" s="7" t="s">
        <v>93</v>
      </c>
      <c r="B30" s="7" t="s">
        <v>38</v>
      </c>
      <c r="C30" s="10">
        <v>44434</v>
      </c>
      <c r="D30" s="10">
        <v>44435</v>
      </c>
      <c r="E30" s="10">
        <v>44431</v>
      </c>
      <c r="F30" s="10">
        <v>44440</v>
      </c>
      <c r="G30" s="17">
        <v>6746000</v>
      </c>
      <c r="I30" s="21" t="s">
        <v>39</v>
      </c>
      <c r="J30" s="8" t="str">
        <f t="shared" si="0"/>
        <v>금6,746,000원(금육백칠십사만육천원)</v>
      </c>
      <c r="K30" s="8" t="str">
        <f t="shared" si="1"/>
        <v>금원(금영원)</v>
      </c>
      <c r="L30" t="str">
        <f t="shared" si="2"/>
        <v>2021년 08월 26일</v>
      </c>
      <c r="M30" s="4" t="str">
        <f t="shared" si="3"/>
        <v>2021년 08월 27일</v>
      </c>
      <c r="N30" s="4" t="str">
        <f t="shared" si="4"/>
        <v>2021년 08월 23일</v>
      </c>
      <c r="O30" t="str">
        <f t="shared" si="5"/>
        <v>2021년 09월 01일</v>
      </c>
      <c r="P30" t="str">
        <f t="shared" si="6"/>
        <v>서초네이처힐5단지 승강기 502동1호기 메인인버터 교체공사</v>
      </c>
      <c r="Q30" t="str">
        <f t="shared" si="7"/>
        <v>서초네이처힐5단지 승강기 502동1호기 메인인버터 교체공사</v>
      </c>
      <c r="R30" t="str">
        <f t="shared" si="8"/>
        <v>서초네이처힐5단지 승강기 502동1호기 메인인버터 교체공사</v>
      </c>
      <c r="S30" t="str">
        <f t="shared" si="9"/>
        <v>금6,746,000원(금육백칠십사만육천원)</v>
      </c>
      <c r="T30" t="str">
        <f t="shared" si="38"/>
        <v>금원(금영원)</v>
      </c>
      <c r="U30" t="str">
        <f t="shared" ref="U30" si="243">N30</f>
        <v>2021년 08월 23일</v>
      </c>
      <c r="V30" t="str">
        <f t="shared" ref="V30" si="244">L30</f>
        <v>2021년 08월 26일</v>
      </c>
      <c r="W30" t="str">
        <f t="shared" ref="W30" si="245">M30</f>
        <v>2021년 08월 27일</v>
      </c>
      <c r="X30" t="str">
        <f t="shared" ref="X30" si="246">M30</f>
        <v>2021년 08월 27일</v>
      </c>
      <c r="Y30" t="str">
        <f t="shared" ref="Y30" si="247">M30</f>
        <v>2021년 08월 27일</v>
      </c>
      <c r="Z30" t="str">
        <f t="shared" si="14"/>
        <v>서초네이처힐5단지 승강기 502동1호기 메인인버터 교체공사</v>
      </c>
      <c r="AA30" t="str">
        <f t="shared" si="15"/>
        <v>서초네이처힐5단지 승강기 502동1호기 메인인버터 교체공사</v>
      </c>
      <c r="AB30" t="str">
        <f t="shared" si="16"/>
        <v>금원(금영원)</v>
      </c>
      <c r="AC30" t="str">
        <f t="shared" si="17"/>
        <v>금원(금영원)</v>
      </c>
      <c r="AD30" t="str">
        <f t="shared" ref="AD30" si="248">M30</f>
        <v>2021년 08월 27일</v>
      </c>
      <c r="AE30" t="str">
        <f t="shared" ref="AE30" si="249">O30</f>
        <v>2021년 09월 01일</v>
      </c>
      <c r="AF30" t="str">
        <f t="shared" ref="AF30" si="250">O30</f>
        <v>2021년 09월 01일</v>
      </c>
      <c r="AG30" t="str">
        <f t="shared" ref="AG30" si="251">O30</f>
        <v>2021년 09월 01일</v>
      </c>
      <c r="AH30">
        <f t="shared" si="62"/>
        <v>29</v>
      </c>
    </row>
    <row r="31" spans="1:34">
      <c r="A31" s="7" t="s">
        <v>94</v>
      </c>
      <c r="B31" s="7" t="s">
        <v>66</v>
      </c>
      <c r="C31" s="10">
        <v>44428</v>
      </c>
      <c r="D31" s="10">
        <v>44428</v>
      </c>
      <c r="E31" s="10">
        <v>44459</v>
      </c>
      <c r="F31" s="10">
        <v>44445</v>
      </c>
      <c r="G31" s="17">
        <v>191000</v>
      </c>
      <c r="I31" s="21" t="s">
        <v>39</v>
      </c>
      <c r="J31" s="8" t="str">
        <f t="shared" si="0"/>
        <v>금191,000원(금일십구만일천원)</v>
      </c>
      <c r="K31" s="8" t="str">
        <f t="shared" si="1"/>
        <v>금원(금영원)</v>
      </c>
      <c r="L31" t="str">
        <f t="shared" si="2"/>
        <v>2021년 08월 20일</v>
      </c>
      <c r="M31" s="4" t="str">
        <f t="shared" si="3"/>
        <v>2021년 08월 20일</v>
      </c>
      <c r="N31" s="4" t="str">
        <f t="shared" si="4"/>
        <v>2021년 09월 20일</v>
      </c>
      <c r="O31" t="str">
        <f t="shared" si="5"/>
        <v>2021년 09월 06일</v>
      </c>
      <c r="P31" t="str">
        <f t="shared" si="6"/>
        <v xml:space="preserve">서초네이처힐5단지 관리소 MDF실 에어컨 보수 </v>
      </c>
      <c r="Q31" t="str">
        <f t="shared" si="7"/>
        <v xml:space="preserve">서초네이처힐5단지 관리소 MDF실 에어컨 보수 </v>
      </c>
      <c r="R31" t="str">
        <f t="shared" si="8"/>
        <v xml:space="preserve">서초네이처힐5단지 관리소 MDF실 에어컨 보수 </v>
      </c>
      <c r="S31" t="str">
        <f t="shared" si="9"/>
        <v>금191,000원(금일십구만일천원)</v>
      </c>
      <c r="T31" t="str">
        <f t="shared" si="38"/>
        <v>금원(금영원)</v>
      </c>
      <c r="U31" t="str">
        <f t="shared" ref="U31" si="252">N31</f>
        <v>2021년 09월 20일</v>
      </c>
      <c r="V31" t="str">
        <f t="shared" ref="V31" si="253">L31</f>
        <v>2021년 08월 20일</v>
      </c>
      <c r="W31" t="str">
        <f t="shared" ref="W31" si="254">M31</f>
        <v>2021년 08월 20일</v>
      </c>
      <c r="X31" t="str">
        <f t="shared" ref="X31" si="255">M31</f>
        <v>2021년 08월 20일</v>
      </c>
      <c r="Y31" t="str">
        <f t="shared" ref="Y31" si="256">M31</f>
        <v>2021년 08월 20일</v>
      </c>
      <c r="Z31" t="str">
        <f t="shared" si="14"/>
        <v xml:space="preserve">서초네이처힐5단지 관리소 MDF실 에어컨 보수 </v>
      </c>
      <c r="AA31" t="str">
        <f t="shared" si="15"/>
        <v xml:space="preserve">서초네이처힐5단지 관리소 MDF실 에어컨 보수 </v>
      </c>
      <c r="AB31" t="str">
        <f t="shared" si="16"/>
        <v>금원(금영원)</v>
      </c>
      <c r="AC31" t="str">
        <f t="shared" si="17"/>
        <v>금원(금영원)</v>
      </c>
      <c r="AD31" t="str">
        <f t="shared" ref="AD31" si="257">M31</f>
        <v>2021년 08월 20일</v>
      </c>
      <c r="AE31" t="str">
        <f t="shared" ref="AE31" si="258">O31</f>
        <v>2021년 09월 06일</v>
      </c>
      <c r="AF31" t="str">
        <f t="shared" ref="AF31" si="259">O31</f>
        <v>2021년 09월 06일</v>
      </c>
      <c r="AG31" t="str">
        <f t="shared" ref="AG31" si="260">O31</f>
        <v>2021년 09월 06일</v>
      </c>
      <c r="AH31">
        <f t="shared" si="62"/>
        <v>30</v>
      </c>
    </row>
    <row r="32" spans="1:34">
      <c r="A32" s="7" t="s">
        <v>95</v>
      </c>
      <c r="B32" s="7" t="s">
        <v>85</v>
      </c>
      <c r="C32" s="10">
        <v>44441</v>
      </c>
      <c r="D32" s="10">
        <v>44442</v>
      </c>
      <c r="E32" s="10">
        <v>44441</v>
      </c>
      <c r="F32" s="10">
        <v>44449</v>
      </c>
      <c r="G32" s="17">
        <v>1881000</v>
      </c>
      <c r="I32" s="21" t="s">
        <v>96</v>
      </c>
      <c r="J32" s="8" t="str">
        <f t="shared" si="0"/>
        <v>금1,881,000원(금일백팔십팔만일천원)</v>
      </c>
      <c r="K32" s="8" t="str">
        <f t="shared" si="1"/>
        <v>금원(금영원)</v>
      </c>
      <c r="L32" t="str">
        <f t="shared" si="2"/>
        <v>2021년 09월 02일</v>
      </c>
      <c r="M32" s="4" t="str">
        <f t="shared" si="3"/>
        <v>2021년 09월 03일</v>
      </c>
      <c r="N32" s="4" t="str">
        <f t="shared" si="4"/>
        <v>2021년 09월 02일</v>
      </c>
      <c r="O32" t="str">
        <f t="shared" si="5"/>
        <v>2021년 09월 10일</v>
      </c>
      <c r="P32" t="str">
        <f t="shared" si="6"/>
        <v xml:space="preserve">내곡SH플라자 전기 소방시설 보수공사 </v>
      </c>
      <c r="Q32" t="str">
        <f t="shared" si="7"/>
        <v xml:space="preserve">내곡SH플라자 전기 소방시설 보수공사 </v>
      </c>
      <c r="R32" t="str">
        <f t="shared" si="8"/>
        <v xml:space="preserve">내곡SH플라자 전기 소방시설 보수공사 </v>
      </c>
      <c r="S32" t="str">
        <f t="shared" si="9"/>
        <v>금1,881,000원(금일백팔십팔만일천원)</v>
      </c>
      <c r="T32" t="str">
        <f t="shared" si="38"/>
        <v>금원(금영원)</v>
      </c>
      <c r="U32" t="str">
        <f t="shared" ref="U32" si="261">N32</f>
        <v>2021년 09월 02일</v>
      </c>
      <c r="V32" t="str">
        <f t="shared" ref="V32" si="262">L32</f>
        <v>2021년 09월 02일</v>
      </c>
      <c r="W32" t="str">
        <f t="shared" ref="W32" si="263">M32</f>
        <v>2021년 09월 03일</v>
      </c>
      <c r="X32" t="str">
        <f t="shared" ref="X32" si="264">M32</f>
        <v>2021년 09월 03일</v>
      </c>
      <c r="Y32" t="str">
        <f t="shared" ref="Y32" si="265">M32</f>
        <v>2021년 09월 03일</v>
      </c>
      <c r="Z32" t="str">
        <f t="shared" si="14"/>
        <v xml:space="preserve">내곡SH플라자 전기 소방시설 보수공사 </v>
      </c>
      <c r="AA32" t="str">
        <f t="shared" si="15"/>
        <v xml:space="preserve">내곡SH플라자 전기 소방시설 보수공사 </v>
      </c>
      <c r="AB32" t="str">
        <f t="shared" si="16"/>
        <v>금원(금영원)</v>
      </c>
      <c r="AC32" t="str">
        <f t="shared" si="17"/>
        <v>금원(금영원)</v>
      </c>
      <c r="AD32" t="str">
        <f t="shared" ref="AD32" si="266">M32</f>
        <v>2021년 09월 03일</v>
      </c>
      <c r="AE32" t="str">
        <f t="shared" ref="AE32" si="267">O32</f>
        <v>2021년 09월 10일</v>
      </c>
      <c r="AF32" t="str">
        <f t="shared" ref="AF32" si="268">O32</f>
        <v>2021년 09월 10일</v>
      </c>
      <c r="AG32" t="str">
        <f t="shared" ref="AG32" si="269">O32</f>
        <v>2021년 09월 10일</v>
      </c>
      <c r="AH32">
        <f t="shared" si="62"/>
        <v>31</v>
      </c>
    </row>
    <row r="33" spans="1:34">
      <c r="A33" s="7" t="s">
        <v>97</v>
      </c>
      <c r="C33" s="10">
        <v>44449</v>
      </c>
      <c r="D33" s="10">
        <v>44449</v>
      </c>
      <c r="E33" s="10">
        <v>44449</v>
      </c>
      <c r="F33" s="10">
        <v>44454</v>
      </c>
      <c r="G33" s="17">
        <v>1012718</v>
      </c>
      <c r="I33" s="21" t="s">
        <v>39</v>
      </c>
      <c r="J33" s="8" t="str">
        <f t="shared" si="0"/>
        <v>금1,012,718원(금일백일만이천칠백일십팔원)</v>
      </c>
      <c r="K33" s="8" t="str">
        <f t="shared" si="1"/>
        <v>금원(금영원)</v>
      </c>
      <c r="L33" t="str">
        <f t="shared" si="2"/>
        <v>2021년 09월 10일</v>
      </c>
      <c r="M33" s="4" t="str">
        <f t="shared" si="3"/>
        <v>2021년 09월 10일</v>
      </c>
      <c r="N33" s="4" t="str">
        <f t="shared" si="4"/>
        <v>2021년 09월 10일</v>
      </c>
      <c r="O33" t="str">
        <f t="shared" si="5"/>
        <v>2021년 09월 15일</v>
      </c>
      <c r="P33" t="str">
        <f t="shared" si="6"/>
        <v>서초네이처힐5단지 501-1403 화재세대 외벽 도장 공사</v>
      </c>
      <c r="Q33" t="str">
        <f t="shared" si="7"/>
        <v>서초네이처힐5단지 501-1403 화재세대 외벽 도장 공사</v>
      </c>
      <c r="R33" t="str">
        <f t="shared" si="8"/>
        <v>서초네이처힐5단지 501-1403 화재세대 외벽 도장 공사</v>
      </c>
      <c r="S33" t="str">
        <f t="shared" si="9"/>
        <v>금1,012,718원(금일백일만이천칠백일십팔원)</v>
      </c>
      <c r="T33" t="str">
        <f t="shared" si="38"/>
        <v>금원(금영원)</v>
      </c>
      <c r="U33" t="str">
        <f t="shared" ref="U33" si="270">N33</f>
        <v>2021년 09월 10일</v>
      </c>
      <c r="V33" t="str">
        <f t="shared" ref="V33" si="271">L33</f>
        <v>2021년 09월 10일</v>
      </c>
      <c r="W33" t="str">
        <f t="shared" ref="W33" si="272">M33</f>
        <v>2021년 09월 10일</v>
      </c>
      <c r="X33" t="str">
        <f t="shared" ref="X33" si="273">M33</f>
        <v>2021년 09월 10일</v>
      </c>
      <c r="Y33" t="str">
        <f t="shared" ref="Y33" si="274">M33</f>
        <v>2021년 09월 10일</v>
      </c>
      <c r="Z33" t="str">
        <f t="shared" si="14"/>
        <v>서초네이처힐5단지 501-1403 화재세대 외벽 도장 공사</v>
      </c>
      <c r="AA33" t="str">
        <f t="shared" si="15"/>
        <v>서초네이처힐5단지 501-1403 화재세대 외벽 도장 공사</v>
      </c>
      <c r="AB33" t="str">
        <f t="shared" si="16"/>
        <v>금원(금영원)</v>
      </c>
      <c r="AC33" t="str">
        <f t="shared" si="17"/>
        <v>금원(금영원)</v>
      </c>
      <c r="AD33" t="str">
        <f t="shared" ref="AD33" si="275">M33</f>
        <v>2021년 09월 10일</v>
      </c>
      <c r="AE33" t="str">
        <f t="shared" ref="AE33" si="276">O33</f>
        <v>2021년 09월 15일</v>
      </c>
      <c r="AF33" t="str">
        <f t="shared" ref="AF33" si="277">O33</f>
        <v>2021년 09월 15일</v>
      </c>
      <c r="AG33" t="str">
        <f t="shared" ref="AG33" si="278">O33</f>
        <v>2021년 09월 15일</v>
      </c>
      <c r="AH33">
        <f t="shared" si="62"/>
        <v>32</v>
      </c>
    </row>
    <row r="34" spans="1:34">
      <c r="A34" s="7" t="s">
        <v>98</v>
      </c>
      <c r="B34" s="7" t="s">
        <v>99</v>
      </c>
      <c r="C34" s="10">
        <v>44456</v>
      </c>
      <c r="D34" s="10">
        <v>44456</v>
      </c>
      <c r="E34" s="10">
        <v>44456</v>
      </c>
      <c r="F34" s="10">
        <v>44468</v>
      </c>
      <c r="G34" s="17">
        <v>440000</v>
      </c>
      <c r="I34" s="21" t="s">
        <v>50</v>
      </c>
      <c r="J34" s="8" t="str">
        <f t="shared" ref="J34:J67" si="279">"금"&amp;TEXT( G34,"#,###") &amp;"원"&amp;"(금"&amp; NUMBERSTRING(G34,1) &amp; "원)"</f>
        <v>금440,000원(금사십사만원)</v>
      </c>
      <c r="K34" s="8" t="str">
        <f t="shared" si="1"/>
        <v>금원(금영원)</v>
      </c>
      <c r="L34" t="str">
        <f t="shared" ref="L34:L67" si="280">TEXT(C34,"yyyy년 mm월 dd일")</f>
        <v>2021년 09월 17일</v>
      </c>
      <c r="M34" s="4" t="str">
        <f t="shared" ref="M34:M67" si="281">TEXT(D34,"yyyy년 mm월 dd일")</f>
        <v>2021년 09월 17일</v>
      </c>
      <c r="N34" s="4" t="str">
        <f t="shared" ref="N34:N67" si="282">TEXT(E34,"yyyy년 mm월 dd일")</f>
        <v>2021년 09월 17일</v>
      </c>
      <c r="O34" t="str">
        <f t="shared" ref="O34:O67" si="283">TEXT(F34,"yyyy년 mm월 dd일")</f>
        <v>2021년 09월 29일</v>
      </c>
      <c r="P34" t="str">
        <f t="shared" ref="P34:P67" si="284">A34</f>
        <v>양재리본타워1단지 101동 2호기 승강기 CCTV 선로 교체 공사</v>
      </c>
      <c r="Q34" t="str">
        <f t="shared" ref="Q34:Q67" si="285">A34</f>
        <v>양재리본타워1단지 101동 2호기 승강기 CCTV 선로 교체 공사</v>
      </c>
      <c r="R34" t="str">
        <f t="shared" ref="R34:R67" si="286">A34</f>
        <v>양재리본타워1단지 101동 2호기 승강기 CCTV 선로 교체 공사</v>
      </c>
      <c r="S34" t="str">
        <f t="shared" ref="S34:S67" si="287">"금"&amp;TEXT( G34,"#,###") &amp;"원"&amp;"(금"&amp; NUMBERSTRING(G34,1) &amp; "원)"</f>
        <v>금440,000원(금사십사만원)</v>
      </c>
      <c r="T34" t="str">
        <f t="shared" ref="T34:T66" si="288">"금"&amp;TEXT( H34,"#,###") &amp;"원"&amp;"(금"&amp; NUMBERSTRING(H34,1) &amp; "원)"</f>
        <v>금원(금영원)</v>
      </c>
      <c r="U34" t="str">
        <f t="shared" ref="U34" si="289">N34</f>
        <v>2021년 09월 17일</v>
      </c>
      <c r="V34" t="str">
        <f t="shared" ref="V34" si="290">L34</f>
        <v>2021년 09월 17일</v>
      </c>
      <c r="W34" t="str">
        <f t="shared" ref="W34" si="291">M34</f>
        <v>2021년 09월 17일</v>
      </c>
      <c r="X34" t="str">
        <f t="shared" ref="X34" si="292">M34</f>
        <v>2021년 09월 17일</v>
      </c>
      <c r="Y34" t="str">
        <f t="shared" ref="Y34" si="293">M34</f>
        <v>2021년 09월 17일</v>
      </c>
      <c r="Z34" t="str">
        <f t="shared" ref="Z34:Z67" si="294">A34</f>
        <v>양재리본타워1단지 101동 2호기 승강기 CCTV 선로 교체 공사</v>
      </c>
      <c r="AA34" t="str">
        <f t="shared" ref="AA34:AA67" si="295">A34</f>
        <v>양재리본타워1단지 101동 2호기 승강기 CCTV 선로 교체 공사</v>
      </c>
      <c r="AB34" t="str">
        <f t="shared" si="16"/>
        <v>금원(금영원)</v>
      </c>
      <c r="AC34" t="str">
        <f t="shared" si="17"/>
        <v>금원(금영원)</v>
      </c>
      <c r="AD34" t="str">
        <f t="shared" ref="AD34" si="296">M34</f>
        <v>2021년 09월 17일</v>
      </c>
      <c r="AE34" t="str">
        <f t="shared" ref="AE34" si="297">O34</f>
        <v>2021년 09월 29일</v>
      </c>
      <c r="AF34" t="str">
        <f t="shared" ref="AF34" si="298">O34</f>
        <v>2021년 09월 29일</v>
      </c>
      <c r="AG34" t="str">
        <f t="shared" ref="AG34" si="299">O34</f>
        <v>2021년 09월 29일</v>
      </c>
      <c r="AH34">
        <f t="shared" si="62"/>
        <v>33</v>
      </c>
    </row>
    <row r="35" spans="1:34">
      <c r="A35" s="7" t="s">
        <v>100</v>
      </c>
      <c r="B35" s="7" t="s">
        <v>85</v>
      </c>
      <c r="C35" s="10">
        <v>44449</v>
      </c>
      <c r="D35" s="10">
        <v>44449</v>
      </c>
      <c r="E35" s="10">
        <v>44449</v>
      </c>
      <c r="F35" s="10">
        <v>44468</v>
      </c>
      <c r="G35" s="17">
        <v>847000</v>
      </c>
      <c r="I35" s="21" t="s">
        <v>101</v>
      </c>
      <c r="J35" s="8" t="str">
        <f t="shared" si="279"/>
        <v>금847,000원(금팔십사만칠천원)</v>
      </c>
      <c r="K35" s="8" t="str">
        <f t="shared" si="1"/>
        <v>금원(금영원)</v>
      </c>
      <c r="L35" t="str">
        <f t="shared" si="280"/>
        <v>2021년 09월 10일</v>
      </c>
      <c r="M35" s="4" t="str">
        <f t="shared" si="281"/>
        <v>2021년 09월 10일</v>
      </c>
      <c r="N35" s="4" t="str">
        <f t="shared" si="282"/>
        <v>2021년 09월 10일</v>
      </c>
      <c r="O35" t="str">
        <f t="shared" si="283"/>
        <v>2021년 09월 29일</v>
      </c>
      <c r="P35" t="str">
        <f t="shared" si="284"/>
        <v>방배SH빌 2021년도 소방지적사항 보수</v>
      </c>
      <c r="Q35" t="str">
        <f t="shared" si="285"/>
        <v>방배SH빌 2021년도 소방지적사항 보수</v>
      </c>
      <c r="R35" t="str">
        <f t="shared" si="286"/>
        <v>방배SH빌 2021년도 소방지적사항 보수</v>
      </c>
      <c r="S35" t="str">
        <f t="shared" si="287"/>
        <v>금847,000원(금팔십사만칠천원)</v>
      </c>
      <c r="T35" t="str">
        <f t="shared" si="288"/>
        <v>금원(금영원)</v>
      </c>
      <c r="U35" t="str">
        <f t="shared" ref="U35" si="300">N35</f>
        <v>2021년 09월 10일</v>
      </c>
      <c r="V35" t="str">
        <f t="shared" ref="V35" si="301">L35</f>
        <v>2021년 09월 10일</v>
      </c>
      <c r="W35" t="str">
        <f t="shared" ref="W35" si="302">M35</f>
        <v>2021년 09월 10일</v>
      </c>
      <c r="X35" t="str">
        <f t="shared" ref="X35" si="303">M35</f>
        <v>2021년 09월 10일</v>
      </c>
      <c r="Y35" t="str">
        <f t="shared" ref="Y35" si="304">M35</f>
        <v>2021년 09월 10일</v>
      </c>
      <c r="Z35" t="str">
        <f t="shared" si="294"/>
        <v>방배SH빌 2021년도 소방지적사항 보수</v>
      </c>
      <c r="AA35" t="str">
        <f t="shared" si="295"/>
        <v>방배SH빌 2021년도 소방지적사항 보수</v>
      </c>
      <c r="AB35" t="str">
        <f t="shared" si="16"/>
        <v>금원(금영원)</v>
      </c>
      <c r="AC35" t="str">
        <f t="shared" si="17"/>
        <v>금원(금영원)</v>
      </c>
      <c r="AD35" t="str">
        <f t="shared" ref="AD35" si="305">M35</f>
        <v>2021년 09월 10일</v>
      </c>
      <c r="AE35" t="str">
        <f t="shared" ref="AE35" si="306">O35</f>
        <v>2021년 09월 29일</v>
      </c>
      <c r="AF35" t="str">
        <f t="shared" ref="AF35" si="307">O35</f>
        <v>2021년 09월 29일</v>
      </c>
      <c r="AG35" t="str">
        <f t="shared" ref="AG35" si="308">O35</f>
        <v>2021년 09월 29일</v>
      </c>
      <c r="AH35">
        <f t="shared" si="62"/>
        <v>34</v>
      </c>
    </row>
    <row r="36" spans="1:34">
      <c r="A36" s="7" t="s">
        <v>102</v>
      </c>
      <c r="B36" s="7" t="s">
        <v>103</v>
      </c>
      <c r="C36" s="10">
        <v>44480</v>
      </c>
      <c r="D36" s="10">
        <v>44482</v>
      </c>
      <c r="E36" s="10">
        <v>44480</v>
      </c>
      <c r="F36" s="10">
        <v>44484</v>
      </c>
      <c r="G36" s="17">
        <v>1925000</v>
      </c>
      <c r="I36" s="21" t="s">
        <v>101</v>
      </c>
      <c r="J36" s="8" t="str">
        <f t="shared" si="279"/>
        <v>금1,925,000원(금일백구십이만오천원)</v>
      </c>
      <c r="K36" s="8" t="str">
        <f t="shared" si="1"/>
        <v>금원(금영원)</v>
      </c>
      <c r="L36" t="str">
        <f t="shared" si="280"/>
        <v>2021년 10월 11일</v>
      </c>
      <c r="M36" s="4" t="str">
        <f t="shared" si="281"/>
        <v>2021년 10월 13일</v>
      </c>
      <c r="N36" s="4" t="str">
        <f t="shared" si="282"/>
        <v>2021년 10월 11일</v>
      </c>
      <c r="O36" t="str">
        <f t="shared" si="283"/>
        <v>2021년 10월 15일</v>
      </c>
      <c r="P36" t="str">
        <f t="shared" si="284"/>
        <v>방배SH빌 옥외 보안등 보수</v>
      </c>
      <c r="Q36" t="str">
        <f t="shared" si="285"/>
        <v>방배SH빌 옥외 보안등 보수</v>
      </c>
      <c r="R36" t="str">
        <f t="shared" si="286"/>
        <v>방배SH빌 옥외 보안등 보수</v>
      </c>
      <c r="S36" t="str">
        <f t="shared" si="287"/>
        <v>금1,925,000원(금일백구십이만오천원)</v>
      </c>
      <c r="T36" t="str">
        <f t="shared" si="288"/>
        <v>금원(금영원)</v>
      </c>
      <c r="U36" t="str">
        <f t="shared" ref="U36" si="309">N36</f>
        <v>2021년 10월 11일</v>
      </c>
      <c r="V36" t="str">
        <f t="shared" ref="V36" si="310">L36</f>
        <v>2021년 10월 11일</v>
      </c>
      <c r="W36" t="str">
        <f t="shared" ref="W36" si="311">M36</f>
        <v>2021년 10월 13일</v>
      </c>
      <c r="X36" t="str">
        <f t="shared" ref="X36" si="312">M36</f>
        <v>2021년 10월 13일</v>
      </c>
      <c r="Y36" t="str">
        <f t="shared" ref="Y36" si="313">M36</f>
        <v>2021년 10월 13일</v>
      </c>
      <c r="Z36" t="str">
        <f t="shared" si="294"/>
        <v>방배SH빌 옥외 보안등 보수</v>
      </c>
      <c r="AA36" t="str">
        <f t="shared" si="295"/>
        <v>방배SH빌 옥외 보안등 보수</v>
      </c>
      <c r="AB36" t="str">
        <f t="shared" si="16"/>
        <v>금원(금영원)</v>
      </c>
      <c r="AC36" t="str">
        <f t="shared" si="17"/>
        <v>금원(금영원)</v>
      </c>
      <c r="AD36" t="str">
        <f t="shared" ref="AD36" si="314">M36</f>
        <v>2021년 10월 13일</v>
      </c>
      <c r="AE36" t="str">
        <f t="shared" ref="AE36" si="315">O36</f>
        <v>2021년 10월 15일</v>
      </c>
      <c r="AF36" t="str">
        <f t="shared" ref="AF36" si="316">O36</f>
        <v>2021년 10월 15일</v>
      </c>
      <c r="AG36" t="str">
        <f t="shared" ref="AG36" si="317">O36</f>
        <v>2021년 10월 15일</v>
      </c>
      <c r="AH36">
        <f t="shared" si="62"/>
        <v>35</v>
      </c>
    </row>
    <row r="37" spans="1:34">
      <c r="A37" s="7" t="s">
        <v>104</v>
      </c>
      <c r="B37" s="7" t="s">
        <v>105</v>
      </c>
      <c r="C37" s="10">
        <v>44466</v>
      </c>
      <c r="D37" s="10">
        <v>44475</v>
      </c>
      <c r="E37" s="10">
        <v>44466</v>
      </c>
      <c r="F37" s="10">
        <v>44483</v>
      </c>
      <c r="G37" s="17">
        <v>15119000</v>
      </c>
      <c r="I37" s="21" t="s">
        <v>68</v>
      </c>
      <c r="J37" s="8" t="str">
        <f t="shared" si="279"/>
        <v>금15,119,000원(금일천오백일십일만구천원)</v>
      </c>
      <c r="K37" s="8" t="str">
        <f t="shared" si="1"/>
        <v>금원(금영원)</v>
      </c>
      <c r="L37" t="str">
        <f t="shared" si="280"/>
        <v>2021년 09월 27일</v>
      </c>
      <c r="M37" s="4" t="str">
        <f t="shared" si="281"/>
        <v>2021년 10월 06일</v>
      </c>
      <c r="N37" s="4" t="str">
        <f t="shared" si="282"/>
        <v>2021년 09월 27일</v>
      </c>
      <c r="O37" t="str">
        <f t="shared" si="283"/>
        <v>2021년 10월 14일</v>
      </c>
      <c r="P37" t="str">
        <f t="shared" si="284"/>
        <v>방배SH빌 지하주차장 램프 누수 보수공사</v>
      </c>
      <c r="Q37" t="str">
        <f t="shared" si="285"/>
        <v>방배SH빌 지하주차장 램프 누수 보수공사</v>
      </c>
      <c r="R37" t="str">
        <f t="shared" si="286"/>
        <v>방배SH빌 지하주차장 램프 누수 보수공사</v>
      </c>
      <c r="S37" t="str">
        <f t="shared" si="287"/>
        <v>금15,119,000원(금일천오백일십일만구천원)</v>
      </c>
      <c r="T37" t="str">
        <f t="shared" si="288"/>
        <v>금원(금영원)</v>
      </c>
      <c r="U37" t="str">
        <f t="shared" ref="U37" si="318">N37</f>
        <v>2021년 09월 27일</v>
      </c>
      <c r="V37" t="str">
        <f t="shared" ref="V37" si="319">L37</f>
        <v>2021년 09월 27일</v>
      </c>
      <c r="W37" t="str">
        <f t="shared" ref="W37" si="320">M37</f>
        <v>2021년 10월 06일</v>
      </c>
      <c r="X37" t="str">
        <f t="shared" ref="X37" si="321">M37</f>
        <v>2021년 10월 06일</v>
      </c>
      <c r="Y37" t="str">
        <f t="shared" ref="Y37" si="322">M37</f>
        <v>2021년 10월 06일</v>
      </c>
      <c r="Z37" t="str">
        <f t="shared" si="294"/>
        <v>방배SH빌 지하주차장 램프 누수 보수공사</v>
      </c>
      <c r="AA37" t="str">
        <f t="shared" si="295"/>
        <v>방배SH빌 지하주차장 램프 누수 보수공사</v>
      </c>
      <c r="AB37" t="str">
        <f t="shared" si="16"/>
        <v>금원(금영원)</v>
      </c>
      <c r="AC37" t="str">
        <f t="shared" si="17"/>
        <v>금원(금영원)</v>
      </c>
      <c r="AD37" t="str">
        <f t="shared" ref="AD37" si="323">M37</f>
        <v>2021년 10월 06일</v>
      </c>
      <c r="AE37" t="str">
        <f t="shared" ref="AE37" si="324">O37</f>
        <v>2021년 10월 14일</v>
      </c>
      <c r="AF37" t="str">
        <f t="shared" ref="AF37" si="325">O37</f>
        <v>2021년 10월 14일</v>
      </c>
      <c r="AG37" t="str">
        <f t="shared" ref="AG37" si="326">O37</f>
        <v>2021년 10월 14일</v>
      </c>
      <c r="AH37">
        <f t="shared" si="62"/>
        <v>36</v>
      </c>
    </row>
    <row r="38" spans="1:34">
      <c r="A38" s="7" t="s">
        <v>106</v>
      </c>
      <c r="B38" s="7" t="s">
        <v>107</v>
      </c>
      <c r="C38" s="10">
        <v>44509</v>
      </c>
      <c r="D38" s="10">
        <v>44510</v>
      </c>
      <c r="E38" s="10">
        <v>44509</v>
      </c>
      <c r="F38" s="10">
        <v>44511</v>
      </c>
      <c r="G38" s="17">
        <v>880000</v>
      </c>
      <c r="I38" s="21" t="s">
        <v>83</v>
      </c>
      <c r="J38" s="8" t="str">
        <f t="shared" si="279"/>
        <v>금880,000원(금팔십팔만원)</v>
      </c>
      <c r="K38" s="8" t="str">
        <f t="shared" si="1"/>
        <v>금원(금영원)</v>
      </c>
      <c r="L38" t="str">
        <f t="shared" si="280"/>
        <v>2021년 11월 09일</v>
      </c>
      <c r="M38" s="4" t="str">
        <f t="shared" si="281"/>
        <v>2021년 11월 10일</v>
      </c>
      <c r="N38" s="4" t="str">
        <f t="shared" si="282"/>
        <v>2021년 11월 09일</v>
      </c>
      <c r="O38" t="str">
        <f t="shared" si="283"/>
        <v>2021년 11월 11일</v>
      </c>
      <c r="P38" t="str">
        <f t="shared" si="284"/>
        <v>서초네이처힐5단지 외 퇴거세대 바닥재 복구</v>
      </c>
      <c r="Q38" t="str">
        <f t="shared" si="285"/>
        <v>서초네이처힐5단지 외 퇴거세대 바닥재 복구</v>
      </c>
      <c r="R38" t="str">
        <f t="shared" si="286"/>
        <v>서초네이처힐5단지 외 퇴거세대 바닥재 복구</v>
      </c>
      <c r="S38" t="str">
        <f t="shared" si="287"/>
        <v>금880,000원(금팔십팔만원)</v>
      </c>
      <c r="T38" t="str">
        <f t="shared" si="288"/>
        <v>금원(금영원)</v>
      </c>
      <c r="U38" t="str">
        <f t="shared" ref="U38" si="327">N38</f>
        <v>2021년 11월 09일</v>
      </c>
      <c r="V38" t="str">
        <f t="shared" ref="V38" si="328">L38</f>
        <v>2021년 11월 09일</v>
      </c>
      <c r="W38" t="str">
        <f t="shared" ref="W38" si="329">M38</f>
        <v>2021년 11월 10일</v>
      </c>
      <c r="X38" t="str">
        <f t="shared" ref="X38" si="330">M38</f>
        <v>2021년 11월 10일</v>
      </c>
      <c r="Y38" t="str">
        <f t="shared" ref="Y38" si="331">M38</f>
        <v>2021년 11월 10일</v>
      </c>
      <c r="Z38" t="str">
        <f t="shared" si="294"/>
        <v>서초네이처힐5단지 외 퇴거세대 바닥재 복구</v>
      </c>
      <c r="AA38" t="str">
        <f t="shared" si="295"/>
        <v>서초네이처힐5단지 외 퇴거세대 바닥재 복구</v>
      </c>
      <c r="AB38" t="str">
        <f t="shared" si="16"/>
        <v>금원(금영원)</v>
      </c>
      <c r="AC38" t="str">
        <f t="shared" si="17"/>
        <v>금원(금영원)</v>
      </c>
      <c r="AD38" t="str">
        <f t="shared" ref="AD38" si="332">M38</f>
        <v>2021년 11월 10일</v>
      </c>
      <c r="AE38" t="str">
        <f t="shared" ref="AE38" si="333">O38</f>
        <v>2021년 11월 11일</v>
      </c>
      <c r="AF38" t="str">
        <f t="shared" ref="AF38" si="334">O38</f>
        <v>2021년 11월 11일</v>
      </c>
      <c r="AG38" t="str">
        <f t="shared" ref="AG38" si="335">O38</f>
        <v>2021년 11월 11일</v>
      </c>
      <c r="AH38">
        <f t="shared" si="62"/>
        <v>37</v>
      </c>
    </row>
    <row r="39" spans="1:34">
      <c r="A39" s="7" t="s">
        <v>108</v>
      </c>
      <c r="B39" s="7" t="s">
        <v>109</v>
      </c>
      <c r="C39" s="10">
        <v>44510</v>
      </c>
      <c r="D39" s="10">
        <v>44510</v>
      </c>
      <c r="E39" s="10">
        <v>44509</v>
      </c>
      <c r="F39" s="10">
        <v>44517</v>
      </c>
      <c r="G39" s="17">
        <v>5016000</v>
      </c>
      <c r="I39" s="21" t="s">
        <v>110</v>
      </c>
      <c r="J39" s="8" t="str">
        <f t="shared" si="279"/>
        <v>금5,016,000원(금오백일만육천원)</v>
      </c>
      <c r="K39" s="8" t="str">
        <f t="shared" si="1"/>
        <v>금원(금영원)</v>
      </c>
      <c r="L39" t="str">
        <f t="shared" si="280"/>
        <v>2021년 11월 10일</v>
      </c>
      <c r="M39" s="4" t="str">
        <f t="shared" si="281"/>
        <v>2021년 11월 10일</v>
      </c>
      <c r="N39" s="4" t="str">
        <f t="shared" si="282"/>
        <v>2021년 11월 09일</v>
      </c>
      <c r="O39" t="str">
        <f t="shared" si="283"/>
        <v>2021년 11월 17일</v>
      </c>
      <c r="P39" t="str">
        <f t="shared" si="284"/>
        <v>양재리본타워1단지 승강기 101동1호기 카운터 쉬브 교체</v>
      </c>
      <c r="Q39" t="str">
        <f t="shared" si="285"/>
        <v>양재리본타워1단지 승강기 101동1호기 카운터 쉬브 교체</v>
      </c>
      <c r="R39" t="str">
        <f t="shared" si="286"/>
        <v>양재리본타워1단지 승강기 101동1호기 카운터 쉬브 교체</v>
      </c>
      <c r="S39" t="str">
        <f t="shared" si="287"/>
        <v>금5,016,000원(금오백일만육천원)</v>
      </c>
      <c r="T39" t="str">
        <f t="shared" si="288"/>
        <v>금원(금영원)</v>
      </c>
      <c r="U39" t="str">
        <f t="shared" ref="U39" si="336">N39</f>
        <v>2021년 11월 09일</v>
      </c>
      <c r="V39" t="str">
        <f t="shared" ref="V39" si="337">L39</f>
        <v>2021년 11월 10일</v>
      </c>
      <c r="W39" t="str">
        <f t="shared" ref="W39" si="338">M39</f>
        <v>2021년 11월 10일</v>
      </c>
      <c r="X39" t="str">
        <f t="shared" ref="X39" si="339">M39</f>
        <v>2021년 11월 10일</v>
      </c>
      <c r="Y39" t="str">
        <f t="shared" ref="Y39" si="340">M39</f>
        <v>2021년 11월 10일</v>
      </c>
      <c r="Z39" t="str">
        <f t="shared" si="294"/>
        <v>양재리본타워1단지 승강기 101동1호기 카운터 쉬브 교체</v>
      </c>
      <c r="AA39" t="str">
        <f t="shared" si="295"/>
        <v>양재리본타워1단지 승강기 101동1호기 카운터 쉬브 교체</v>
      </c>
      <c r="AB39" t="str">
        <f t="shared" si="16"/>
        <v>금원(금영원)</v>
      </c>
      <c r="AC39" t="str">
        <f t="shared" si="17"/>
        <v>금원(금영원)</v>
      </c>
      <c r="AD39" t="str">
        <f t="shared" ref="AD39" si="341">M39</f>
        <v>2021년 11월 10일</v>
      </c>
      <c r="AE39" t="str">
        <f t="shared" ref="AE39" si="342">O39</f>
        <v>2021년 11월 17일</v>
      </c>
      <c r="AF39" t="str">
        <f t="shared" ref="AF39" si="343">O39</f>
        <v>2021년 11월 17일</v>
      </c>
      <c r="AG39" t="str">
        <f t="shared" ref="AG39" si="344">O39</f>
        <v>2021년 11월 17일</v>
      </c>
      <c r="AH39">
        <f t="shared" si="62"/>
        <v>38</v>
      </c>
    </row>
    <row r="40" spans="1:34">
      <c r="A40" s="7" t="s">
        <v>111</v>
      </c>
      <c r="B40" s="7" t="s">
        <v>57</v>
      </c>
      <c r="C40" s="10">
        <v>44517</v>
      </c>
      <c r="D40" s="10">
        <v>44517</v>
      </c>
      <c r="E40" s="10">
        <v>44522</v>
      </c>
      <c r="F40" s="10">
        <v>44522</v>
      </c>
      <c r="G40" s="17">
        <v>946000</v>
      </c>
      <c r="I40" s="21" t="s">
        <v>39</v>
      </c>
      <c r="J40" s="8" t="str">
        <f t="shared" si="279"/>
        <v>금946,000원(금구십사만육천원)</v>
      </c>
      <c r="K40" s="8" t="str">
        <f t="shared" si="1"/>
        <v>금원(금영원)</v>
      </c>
      <c r="L40" t="str">
        <f t="shared" si="280"/>
        <v>2021년 11월 17일</v>
      </c>
      <c r="M40" s="4" t="str">
        <f t="shared" si="281"/>
        <v>2021년 11월 17일</v>
      </c>
      <c r="N40" s="4" t="str">
        <f t="shared" si="282"/>
        <v>2021년 11월 22일</v>
      </c>
      <c r="O40" t="str">
        <f t="shared" si="283"/>
        <v>2021년 11월 22일</v>
      </c>
      <c r="P40" t="str">
        <f t="shared" si="284"/>
        <v>서초네이처힐5단지 504-807 개별보일러 교체</v>
      </c>
      <c r="Q40" t="str">
        <f t="shared" si="285"/>
        <v>서초네이처힐5단지 504-807 개별보일러 교체</v>
      </c>
      <c r="R40" t="str">
        <f t="shared" si="286"/>
        <v>서초네이처힐5단지 504-807 개별보일러 교체</v>
      </c>
      <c r="S40" t="str">
        <f t="shared" si="287"/>
        <v>금946,000원(금구십사만육천원)</v>
      </c>
      <c r="T40" t="str">
        <f t="shared" si="288"/>
        <v>금원(금영원)</v>
      </c>
      <c r="U40" t="str">
        <f t="shared" ref="U40" si="345">N40</f>
        <v>2021년 11월 22일</v>
      </c>
      <c r="V40" t="str">
        <f t="shared" ref="V40" si="346">L40</f>
        <v>2021년 11월 17일</v>
      </c>
      <c r="W40" t="str">
        <f t="shared" ref="W40" si="347">M40</f>
        <v>2021년 11월 17일</v>
      </c>
      <c r="X40" t="str">
        <f t="shared" ref="X40" si="348">M40</f>
        <v>2021년 11월 17일</v>
      </c>
      <c r="Y40" t="str">
        <f t="shared" ref="Y40" si="349">M40</f>
        <v>2021년 11월 17일</v>
      </c>
      <c r="Z40" t="str">
        <f t="shared" si="294"/>
        <v>서초네이처힐5단지 504-807 개별보일러 교체</v>
      </c>
      <c r="AA40" t="str">
        <f t="shared" si="295"/>
        <v>서초네이처힐5단지 504-807 개별보일러 교체</v>
      </c>
      <c r="AB40" t="str">
        <f t="shared" si="16"/>
        <v>금원(금영원)</v>
      </c>
      <c r="AC40" t="str">
        <f t="shared" si="17"/>
        <v>금원(금영원)</v>
      </c>
      <c r="AD40" t="str">
        <f t="shared" ref="AD40" si="350">M40</f>
        <v>2021년 11월 17일</v>
      </c>
      <c r="AE40" t="str">
        <f t="shared" ref="AE40" si="351">O40</f>
        <v>2021년 11월 22일</v>
      </c>
      <c r="AF40" t="str">
        <f t="shared" ref="AF40" si="352">O40</f>
        <v>2021년 11월 22일</v>
      </c>
      <c r="AG40" t="str">
        <f t="shared" ref="AG40" si="353">O40</f>
        <v>2021년 11월 22일</v>
      </c>
      <c r="AH40">
        <f t="shared" si="62"/>
        <v>39</v>
      </c>
    </row>
    <row r="41" spans="1:34">
      <c r="A41" s="7" t="s">
        <v>112</v>
      </c>
      <c r="B41" s="7" t="s">
        <v>38</v>
      </c>
      <c r="C41" s="10">
        <v>44531</v>
      </c>
      <c r="D41" s="10">
        <v>44532</v>
      </c>
      <c r="E41" s="10">
        <v>44531</v>
      </c>
      <c r="F41" s="10">
        <v>44537</v>
      </c>
      <c r="G41" s="17">
        <v>3698200</v>
      </c>
      <c r="I41" s="21" t="s">
        <v>113</v>
      </c>
      <c r="J41" s="8" t="str">
        <f t="shared" si="279"/>
        <v>금3,698,200원(금삼백육십구만팔천이백원)</v>
      </c>
      <c r="K41" s="8" t="str">
        <f t="shared" si="1"/>
        <v>금원(금영원)</v>
      </c>
      <c r="L41" t="str">
        <f t="shared" si="280"/>
        <v>2021년 12월 01일</v>
      </c>
      <c r="M41" s="4" t="str">
        <f t="shared" si="281"/>
        <v>2021년 12월 02일</v>
      </c>
      <c r="N41" s="4" t="str">
        <f t="shared" si="282"/>
        <v>2021년 12월 01일</v>
      </c>
      <c r="O41" t="str">
        <f t="shared" si="283"/>
        <v>2021년 12월 07일</v>
      </c>
      <c r="P41" t="str">
        <f t="shared" si="284"/>
        <v>네이처힐가든 승강기 비상통화장치(모기) 교체</v>
      </c>
      <c r="Q41" t="str">
        <f t="shared" si="285"/>
        <v>네이처힐가든 승강기 비상통화장치(모기) 교체</v>
      </c>
      <c r="R41" t="str">
        <f t="shared" si="286"/>
        <v>네이처힐가든 승강기 비상통화장치(모기) 교체</v>
      </c>
      <c r="S41" t="str">
        <f t="shared" si="287"/>
        <v>금3,698,200원(금삼백육십구만팔천이백원)</v>
      </c>
      <c r="T41" t="str">
        <f t="shared" si="288"/>
        <v>금원(금영원)</v>
      </c>
      <c r="U41" t="str">
        <f t="shared" ref="U41" si="354">N41</f>
        <v>2021년 12월 01일</v>
      </c>
      <c r="V41" t="str">
        <f t="shared" ref="V41" si="355">L41</f>
        <v>2021년 12월 01일</v>
      </c>
      <c r="W41" t="str">
        <f t="shared" ref="W41" si="356">M41</f>
        <v>2021년 12월 02일</v>
      </c>
      <c r="X41" t="str">
        <f t="shared" ref="X41" si="357">M41</f>
        <v>2021년 12월 02일</v>
      </c>
      <c r="Y41" t="str">
        <f t="shared" ref="Y41" si="358">M41</f>
        <v>2021년 12월 02일</v>
      </c>
      <c r="Z41" t="str">
        <f t="shared" si="294"/>
        <v>네이처힐가든 승강기 비상통화장치(모기) 교체</v>
      </c>
      <c r="AA41" t="str">
        <f t="shared" si="295"/>
        <v>네이처힐가든 승강기 비상통화장치(모기) 교체</v>
      </c>
      <c r="AB41" t="str">
        <f t="shared" si="16"/>
        <v>금원(금영원)</v>
      </c>
      <c r="AC41" t="str">
        <f t="shared" si="17"/>
        <v>금원(금영원)</v>
      </c>
      <c r="AD41" t="str">
        <f t="shared" ref="AD41" si="359">M41</f>
        <v>2021년 12월 02일</v>
      </c>
      <c r="AE41" t="str">
        <f t="shared" ref="AE41" si="360">O41</f>
        <v>2021년 12월 07일</v>
      </c>
      <c r="AF41" t="str">
        <f t="shared" ref="AF41" si="361">O41</f>
        <v>2021년 12월 07일</v>
      </c>
      <c r="AG41" t="str">
        <f t="shared" ref="AG41" si="362">O41</f>
        <v>2021년 12월 07일</v>
      </c>
      <c r="AH41">
        <f t="shared" si="62"/>
        <v>40</v>
      </c>
    </row>
    <row r="42" spans="1:34">
      <c r="A42" s="7" t="s">
        <v>114</v>
      </c>
      <c r="B42" s="7" t="s">
        <v>85</v>
      </c>
      <c r="C42" s="10">
        <v>44536</v>
      </c>
      <c r="D42" s="10">
        <v>44537</v>
      </c>
      <c r="E42" s="10">
        <v>44536</v>
      </c>
      <c r="F42" s="10">
        <v>44537</v>
      </c>
      <c r="G42" s="17">
        <v>2948000</v>
      </c>
      <c r="I42" s="21" t="s">
        <v>113</v>
      </c>
      <c r="J42" s="8" t="str">
        <f t="shared" si="279"/>
        <v>금2,948,000원(금이백구십사만팔천원)</v>
      </c>
      <c r="K42" s="8" t="str">
        <f t="shared" si="1"/>
        <v>금원(금영원)</v>
      </c>
      <c r="L42" t="str">
        <f t="shared" si="280"/>
        <v>2021년 12월 06일</v>
      </c>
      <c r="M42" s="4" t="str">
        <f t="shared" si="281"/>
        <v>2021년 12월 07일</v>
      </c>
      <c r="N42" s="4" t="str">
        <f t="shared" si="282"/>
        <v>2021년 12월 06일</v>
      </c>
      <c r="O42" t="str">
        <f t="shared" si="283"/>
        <v>2021년 12월 07일</v>
      </c>
      <c r="P42" t="str">
        <f t="shared" si="284"/>
        <v>네이처힐가든 소방지적사항 보수공사</v>
      </c>
      <c r="Q42" t="str">
        <f t="shared" si="285"/>
        <v>네이처힐가든 소방지적사항 보수공사</v>
      </c>
      <c r="R42" t="str">
        <f t="shared" si="286"/>
        <v>네이처힐가든 소방지적사항 보수공사</v>
      </c>
      <c r="S42" t="str">
        <f t="shared" si="287"/>
        <v>금2,948,000원(금이백구십사만팔천원)</v>
      </c>
      <c r="T42" t="str">
        <f t="shared" si="288"/>
        <v>금원(금영원)</v>
      </c>
      <c r="U42" t="str">
        <f t="shared" ref="U42" si="363">N42</f>
        <v>2021년 12월 06일</v>
      </c>
      <c r="V42" t="str">
        <f t="shared" ref="V42" si="364">L42</f>
        <v>2021년 12월 06일</v>
      </c>
      <c r="W42" t="str">
        <f t="shared" ref="W42" si="365">M42</f>
        <v>2021년 12월 07일</v>
      </c>
      <c r="X42" t="str">
        <f t="shared" ref="X42" si="366">M42</f>
        <v>2021년 12월 07일</v>
      </c>
      <c r="Y42" t="str">
        <f t="shared" ref="Y42" si="367">M42</f>
        <v>2021년 12월 07일</v>
      </c>
      <c r="Z42" t="str">
        <f t="shared" si="294"/>
        <v>네이처힐가든 소방지적사항 보수공사</v>
      </c>
      <c r="AA42" t="str">
        <f t="shared" si="295"/>
        <v>네이처힐가든 소방지적사항 보수공사</v>
      </c>
      <c r="AB42" t="str">
        <f t="shared" si="16"/>
        <v>금원(금영원)</v>
      </c>
      <c r="AC42" t="str">
        <f t="shared" si="17"/>
        <v>금원(금영원)</v>
      </c>
      <c r="AD42" t="str">
        <f t="shared" ref="AD42" si="368">M42</f>
        <v>2021년 12월 07일</v>
      </c>
      <c r="AE42" t="str">
        <f t="shared" ref="AE42" si="369">O42</f>
        <v>2021년 12월 07일</v>
      </c>
      <c r="AF42" t="str">
        <f t="shared" ref="AF42" si="370">O42</f>
        <v>2021년 12월 07일</v>
      </c>
      <c r="AG42" t="str">
        <f t="shared" ref="AG42" si="371">O42</f>
        <v>2021년 12월 07일</v>
      </c>
      <c r="AH42">
        <f t="shared" si="62"/>
        <v>41</v>
      </c>
    </row>
    <row r="43" spans="1:34">
      <c r="A43" s="7" t="s">
        <v>116</v>
      </c>
      <c r="B43" s="7" t="s">
        <v>57</v>
      </c>
      <c r="C43" s="10">
        <v>44564</v>
      </c>
      <c r="D43" s="10">
        <v>44564</v>
      </c>
      <c r="E43" s="10">
        <v>44564</v>
      </c>
      <c r="F43" s="10">
        <v>44566</v>
      </c>
      <c r="G43" s="17">
        <v>946000</v>
      </c>
      <c r="I43" s="21" t="s">
        <v>115</v>
      </c>
      <c r="J43" s="8" t="str">
        <f t="shared" si="279"/>
        <v>금946,000원(금구십사만육천원)</v>
      </c>
      <c r="K43" s="8" t="str">
        <f t="shared" si="1"/>
        <v>금원(금영원)</v>
      </c>
      <c r="L43" t="str">
        <f t="shared" si="280"/>
        <v>2022년 01월 03일</v>
      </c>
      <c r="M43" s="4" t="str">
        <f t="shared" si="281"/>
        <v>2022년 01월 03일</v>
      </c>
      <c r="N43" s="4" t="str">
        <f t="shared" si="282"/>
        <v>2022년 01월 03일</v>
      </c>
      <c r="O43" t="str">
        <f t="shared" si="283"/>
        <v>2022년 01월 05일</v>
      </c>
      <c r="P43" t="str">
        <f t="shared" si="284"/>
        <v>서초네이처힐5단지 501-904 개별보일러 교체</v>
      </c>
      <c r="Q43" t="str">
        <f t="shared" si="285"/>
        <v>서초네이처힐5단지 501-904 개별보일러 교체</v>
      </c>
      <c r="R43" t="str">
        <f t="shared" si="286"/>
        <v>서초네이처힐5단지 501-904 개별보일러 교체</v>
      </c>
      <c r="S43" t="str">
        <f t="shared" si="287"/>
        <v>금946,000원(금구십사만육천원)</v>
      </c>
      <c r="T43" t="str">
        <f t="shared" si="288"/>
        <v>금원(금영원)</v>
      </c>
      <c r="U43" t="str">
        <f t="shared" ref="U43" si="372">N43</f>
        <v>2022년 01월 03일</v>
      </c>
      <c r="V43" t="str">
        <f t="shared" ref="V43" si="373">L43</f>
        <v>2022년 01월 03일</v>
      </c>
      <c r="W43" t="str">
        <f t="shared" ref="W43" si="374">M43</f>
        <v>2022년 01월 03일</v>
      </c>
      <c r="X43" t="str">
        <f t="shared" ref="X43" si="375">M43</f>
        <v>2022년 01월 03일</v>
      </c>
      <c r="Y43" t="str">
        <f t="shared" ref="Y43" si="376">M43</f>
        <v>2022년 01월 03일</v>
      </c>
      <c r="Z43" t="str">
        <f t="shared" si="294"/>
        <v>서초네이처힐5단지 501-904 개별보일러 교체</v>
      </c>
      <c r="AA43" t="str">
        <f t="shared" si="295"/>
        <v>서초네이처힐5단지 501-904 개별보일러 교체</v>
      </c>
      <c r="AB43" t="str">
        <f t="shared" si="16"/>
        <v>금원(금영원)</v>
      </c>
      <c r="AC43" t="str">
        <f t="shared" si="17"/>
        <v>금원(금영원)</v>
      </c>
      <c r="AD43" t="str">
        <f t="shared" ref="AD43" si="377">M43</f>
        <v>2022년 01월 03일</v>
      </c>
      <c r="AE43" t="str">
        <f t="shared" ref="AE43" si="378">O43</f>
        <v>2022년 01월 05일</v>
      </c>
      <c r="AF43" t="str">
        <f t="shared" ref="AF43" si="379">O43</f>
        <v>2022년 01월 05일</v>
      </c>
      <c r="AG43" t="str">
        <f t="shared" ref="AG43" si="380">O43</f>
        <v>2022년 01월 05일</v>
      </c>
      <c r="AH43">
        <f t="shared" si="62"/>
        <v>42</v>
      </c>
    </row>
    <row r="44" spans="1:34">
      <c r="A44" s="7" t="s">
        <v>118</v>
      </c>
      <c r="B44" s="7" t="s">
        <v>117</v>
      </c>
      <c r="C44" s="10">
        <v>44566</v>
      </c>
      <c r="D44" s="10">
        <v>44566</v>
      </c>
      <c r="E44" s="10">
        <v>44566</v>
      </c>
      <c r="F44" s="10">
        <v>44571</v>
      </c>
      <c r="G44" s="17">
        <v>897600</v>
      </c>
      <c r="I44" s="21" t="s">
        <v>50</v>
      </c>
      <c r="J44" s="8" t="str">
        <f t="shared" si="279"/>
        <v>금897,600원(금팔십구만칠천육백원)</v>
      </c>
      <c r="K44" s="8" t="str">
        <f t="shared" si="1"/>
        <v>금원(금영원)</v>
      </c>
      <c r="L44" t="str">
        <f t="shared" si="280"/>
        <v>2022년 01월 05일</v>
      </c>
      <c r="M44" s="4" t="str">
        <f t="shared" si="281"/>
        <v>2022년 01월 05일</v>
      </c>
      <c r="N44" s="4" t="str">
        <f t="shared" si="282"/>
        <v>2022년 01월 05일</v>
      </c>
      <c r="O44" t="str">
        <f t="shared" si="283"/>
        <v>2022년 01월 10일</v>
      </c>
      <c r="P44" t="str">
        <f t="shared" si="284"/>
        <v>양재리본타워1단지 변압기 온도계 교체</v>
      </c>
      <c r="Q44" t="str">
        <f t="shared" si="285"/>
        <v>양재리본타워1단지 변압기 온도계 교체</v>
      </c>
      <c r="R44" t="str">
        <f t="shared" si="286"/>
        <v>양재리본타워1단지 변압기 온도계 교체</v>
      </c>
      <c r="S44" t="str">
        <f t="shared" si="287"/>
        <v>금897,600원(금팔십구만칠천육백원)</v>
      </c>
      <c r="T44" t="str">
        <f t="shared" si="288"/>
        <v>금원(금영원)</v>
      </c>
      <c r="U44" t="str">
        <f t="shared" ref="U44" si="381">N44</f>
        <v>2022년 01월 05일</v>
      </c>
      <c r="V44" t="str">
        <f t="shared" ref="V44" si="382">L44</f>
        <v>2022년 01월 05일</v>
      </c>
      <c r="W44" t="str">
        <f t="shared" ref="W44" si="383">M44</f>
        <v>2022년 01월 05일</v>
      </c>
      <c r="X44" t="str">
        <f t="shared" ref="X44" si="384">M44</f>
        <v>2022년 01월 05일</v>
      </c>
      <c r="Y44" t="str">
        <f t="shared" ref="Y44" si="385">M44</f>
        <v>2022년 01월 05일</v>
      </c>
      <c r="Z44" t="str">
        <f t="shared" si="294"/>
        <v>양재리본타워1단지 변압기 온도계 교체</v>
      </c>
      <c r="AA44" t="str">
        <f t="shared" si="295"/>
        <v>양재리본타워1단지 변압기 온도계 교체</v>
      </c>
      <c r="AB44" t="str">
        <f t="shared" si="16"/>
        <v>금원(금영원)</v>
      </c>
      <c r="AC44" t="str">
        <f t="shared" si="17"/>
        <v>금원(금영원)</v>
      </c>
      <c r="AD44" t="str">
        <f t="shared" ref="AD44" si="386">M44</f>
        <v>2022년 01월 05일</v>
      </c>
      <c r="AE44" t="str">
        <f t="shared" ref="AE44" si="387">O44</f>
        <v>2022년 01월 10일</v>
      </c>
      <c r="AF44" t="str">
        <f t="shared" ref="AF44" si="388">O44</f>
        <v>2022년 01월 10일</v>
      </c>
      <c r="AG44" t="str">
        <f t="shared" ref="AG44" si="389">O44</f>
        <v>2022년 01월 10일</v>
      </c>
      <c r="AH44">
        <f t="shared" si="62"/>
        <v>43</v>
      </c>
    </row>
    <row r="45" spans="1:34">
      <c r="A45" s="7" t="s">
        <v>156</v>
      </c>
      <c r="B45" s="7" t="s">
        <v>66</v>
      </c>
      <c r="C45" s="10">
        <v>44568</v>
      </c>
      <c r="D45" s="10">
        <v>44568</v>
      </c>
      <c r="E45" s="10">
        <v>44568</v>
      </c>
      <c r="F45" s="10">
        <v>44571</v>
      </c>
      <c r="G45" s="17">
        <v>566500</v>
      </c>
      <c r="I45" s="21" t="s">
        <v>39</v>
      </c>
      <c r="J45" s="8" t="str">
        <f t="shared" si="279"/>
        <v>금566,500원(금오십육만육천오백원)</v>
      </c>
      <c r="K45" s="8" t="str">
        <f t="shared" si="1"/>
        <v>금원(금영원)</v>
      </c>
      <c r="L45" t="str">
        <f t="shared" si="280"/>
        <v>2022년 01월 07일</v>
      </c>
      <c r="M45" s="4" t="str">
        <f t="shared" si="281"/>
        <v>2022년 01월 07일</v>
      </c>
      <c r="N45" s="4" t="str">
        <f t="shared" si="282"/>
        <v>2022년 01월 07일</v>
      </c>
      <c r="O45" t="str">
        <f t="shared" si="283"/>
        <v>2022년 01월 10일</v>
      </c>
      <c r="P45" t="str">
        <f t="shared" si="284"/>
        <v>서초네이처힐5단지 후문 경비실 에어컨 보수</v>
      </c>
      <c r="Q45" t="str">
        <f t="shared" si="285"/>
        <v>서초네이처힐5단지 후문 경비실 에어컨 보수</v>
      </c>
      <c r="R45" t="str">
        <f t="shared" si="286"/>
        <v>서초네이처힐5단지 후문 경비실 에어컨 보수</v>
      </c>
      <c r="S45" t="str">
        <f t="shared" si="287"/>
        <v>금566,500원(금오십육만육천오백원)</v>
      </c>
      <c r="T45" t="str">
        <f t="shared" si="288"/>
        <v>금원(금영원)</v>
      </c>
      <c r="U45" t="str">
        <f t="shared" ref="U45" si="390">N45</f>
        <v>2022년 01월 07일</v>
      </c>
      <c r="V45" t="str">
        <f t="shared" ref="V45" si="391">L45</f>
        <v>2022년 01월 07일</v>
      </c>
      <c r="W45" t="str">
        <f t="shared" ref="W45" si="392">M45</f>
        <v>2022년 01월 07일</v>
      </c>
      <c r="X45" t="str">
        <f t="shared" ref="X45" si="393">M45</f>
        <v>2022년 01월 07일</v>
      </c>
      <c r="Y45" t="str">
        <f t="shared" ref="Y45" si="394">M45</f>
        <v>2022년 01월 07일</v>
      </c>
      <c r="Z45" t="str">
        <f t="shared" si="294"/>
        <v>서초네이처힐5단지 후문 경비실 에어컨 보수</v>
      </c>
      <c r="AA45" t="str">
        <f t="shared" si="295"/>
        <v>서초네이처힐5단지 후문 경비실 에어컨 보수</v>
      </c>
      <c r="AB45" t="str">
        <f t="shared" si="16"/>
        <v>금원(금영원)</v>
      </c>
      <c r="AC45" t="str">
        <f t="shared" si="17"/>
        <v>금원(금영원)</v>
      </c>
      <c r="AD45" t="str">
        <f t="shared" ref="AD45" si="395">M45</f>
        <v>2022년 01월 07일</v>
      </c>
      <c r="AE45" t="str">
        <f t="shared" ref="AE45" si="396">O45</f>
        <v>2022년 01월 10일</v>
      </c>
      <c r="AF45" t="str">
        <f t="shared" ref="AF45" si="397">O45</f>
        <v>2022년 01월 10일</v>
      </c>
      <c r="AG45" t="str">
        <f t="shared" ref="AG45" si="398">O45</f>
        <v>2022년 01월 10일</v>
      </c>
      <c r="AH45">
        <f t="shared" si="62"/>
        <v>44</v>
      </c>
    </row>
    <row r="46" spans="1:34">
      <c r="A46" s="7" t="s">
        <v>119</v>
      </c>
      <c r="B46" s="7" t="s">
        <v>120</v>
      </c>
      <c r="C46" s="10">
        <v>44568</v>
      </c>
      <c r="D46" s="10">
        <v>44568</v>
      </c>
      <c r="E46" s="10">
        <v>44568</v>
      </c>
      <c r="F46" s="10">
        <v>44571</v>
      </c>
      <c r="G46" s="17">
        <v>2310000</v>
      </c>
      <c r="I46" s="21" t="s">
        <v>50</v>
      </c>
      <c r="J46" s="8" t="str">
        <f t="shared" si="279"/>
        <v>금2,310,000원(금이백삼십일만원)</v>
      </c>
      <c r="K46" s="8" t="str">
        <f t="shared" si="1"/>
        <v>금원(금영원)</v>
      </c>
      <c r="L46" t="str">
        <f t="shared" si="280"/>
        <v>2022년 01월 07일</v>
      </c>
      <c r="M46" s="4" t="str">
        <f t="shared" si="281"/>
        <v>2022년 01월 07일</v>
      </c>
      <c r="N46" s="4" t="str">
        <f t="shared" si="282"/>
        <v>2022년 01월 07일</v>
      </c>
      <c r="O46" t="str">
        <f t="shared" si="283"/>
        <v>2022년 01월 10일</v>
      </c>
      <c r="P46" t="str">
        <f t="shared" si="284"/>
        <v>양재리본타워1단지 주차차단기 RF리더기 교체</v>
      </c>
      <c r="Q46" t="str">
        <f t="shared" si="285"/>
        <v>양재리본타워1단지 주차차단기 RF리더기 교체</v>
      </c>
      <c r="R46" t="str">
        <f t="shared" si="286"/>
        <v>양재리본타워1단지 주차차단기 RF리더기 교체</v>
      </c>
      <c r="S46" t="str">
        <f t="shared" si="287"/>
        <v>금2,310,000원(금이백삼십일만원)</v>
      </c>
      <c r="T46" s="18" t="str">
        <f t="shared" si="288"/>
        <v>금원(금영원)</v>
      </c>
      <c r="U46" t="str">
        <f t="shared" ref="U46" si="399">N46</f>
        <v>2022년 01월 07일</v>
      </c>
      <c r="V46" t="str">
        <f t="shared" ref="V46" si="400">L46</f>
        <v>2022년 01월 07일</v>
      </c>
      <c r="W46" t="str">
        <f t="shared" ref="W46" si="401">M46</f>
        <v>2022년 01월 07일</v>
      </c>
      <c r="X46" t="str">
        <f t="shared" ref="X46" si="402">M46</f>
        <v>2022년 01월 07일</v>
      </c>
      <c r="Y46" t="str">
        <f t="shared" ref="Y46" si="403">M46</f>
        <v>2022년 01월 07일</v>
      </c>
      <c r="Z46" t="str">
        <f t="shared" si="294"/>
        <v>양재리본타워1단지 주차차단기 RF리더기 교체</v>
      </c>
      <c r="AA46" t="str">
        <f t="shared" si="295"/>
        <v>양재리본타워1단지 주차차단기 RF리더기 교체</v>
      </c>
      <c r="AB46" t="str">
        <f t="shared" si="16"/>
        <v>금원(금영원)</v>
      </c>
      <c r="AC46" t="str">
        <f t="shared" si="17"/>
        <v>금원(금영원)</v>
      </c>
      <c r="AD46" t="str">
        <f t="shared" ref="AD46" si="404">M46</f>
        <v>2022년 01월 07일</v>
      </c>
      <c r="AE46" t="str">
        <f t="shared" ref="AE46" si="405">O46</f>
        <v>2022년 01월 10일</v>
      </c>
      <c r="AF46" t="str">
        <f t="shared" ref="AF46" si="406">O46</f>
        <v>2022년 01월 10일</v>
      </c>
      <c r="AG46" t="str">
        <f t="shared" ref="AG46" si="407">O46</f>
        <v>2022년 01월 10일</v>
      </c>
      <c r="AH46">
        <f t="shared" si="62"/>
        <v>45</v>
      </c>
    </row>
    <row r="47" spans="1:34">
      <c r="A47" s="7" t="s">
        <v>121</v>
      </c>
      <c r="B47" s="7" t="s">
        <v>57</v>
      </c>
      <c r="C47" s="10">
        <v>44575</v>
      </c>
      <c r="D47" s="10">
        <v>44575</v>
      </c>
      <c r="E47" s="10">
        <v>44575</v>
      </c>
      <c r="F47" s="10">
        <v>44578</v>
      </c>
      <c r="G47" s="17">
        <v>946000</v>
      </c>
      <c r="I47" s="21" t="s">
        <v>39</v>
      </c>
      <c r="J47" s="8" t="str">
        <f t="shared" si="279"/>
        <v>금946,000원(금구십사만육천원)</v>
      </c>
      <c r="K47" s="8" t="str">
        <f t="shared" si="1"/>
        <v>금원(금영원)</v>
      </c>
      <c r="L47" t="str">
        <f t="shared" si="280"/>
        <v>2022년 01월 14일</v>
      </c>
      <c r="M47" s="4" t="str">
        <f t="shared" si="281"/>
        <v>2022년 01월 14일</v>
      </c>
      <c r="N47" s="4" t="str">
        <f t="shared" si="282"/>
        <v>2022년 01월 14일</v>
      </c>
      <c r="O47" t="str">
        <f t="shared" si="283"/>
        <v>2022년 01월 17일</v>
      </c>
      <c r="P47" t="str">
        <f t="shared" si="284"/>
        <v>서초네이처힐5단지 508-1201 개별보일러 교체</v>
      </c>
      <c r="Q47" t="str">
        <f t="shared" si="285"/>
        <v>서초네이처힐5단지 508-1201 개별보일러 교체</v>
      </c>
      <c r="R47" t="str">
        <f t="shared" si="286"/>
        <v>서초네이처힐5단지 508-1201 개별보일러 교체</v>
      </c>
      <c r="S47" t="str">
        <f t="shared" si="287"/>
        <v>금946,000원(금구십사만육천원)</v>
      </c>
      <c r="T47" s="18" t="str">
        <f t="shared" si="288"/>
        <v>금원(금영원)</v>
      </c>
      <c r="U47" t="str">
        <f t="shared" ref="U47" si="408">N47</f>
        <v>2022년 01월 14일</v>
      </c>
      <c r="V47" t="str">
        <f t="shared" ref="V47" si="409">L47</f>
        <v>2022년 01월 14일</v>
      </c>
      <c r="W47" t="str">
        <f t="shared" ref="W47" si="410">M47</f>
        <v>2022년 01월 14일</v>
      </c>
      <c r="X47" t="str">
        <f t="shared" ref="X47" si="411">M47</f>
        <v>2022년 01월 14일</v>
      </c>
      <c r="Y47" t="str">
        <f t="shared" ref="Y47" si="412">M47</f>
        <v>2022년 01월 14일</v>
      </c>
      <c r="Z47" t="str">
        <f t="shared" si="294"/>
        <v>서초네이처힐5단지 508-1201 개별보일러 교체</v>
      </c>
      <c r="AA47" t="str">
        <f t="shared" si="295"/>
        <v>서초네이처힐5단지 508-1201 개별보일러 교체</v>
      </c>
      <c r="AB47" t="str">
        <f t="shared" si="16"/>
        <v>금원(금영원)</v>
      </c>
      <c r="AC47" t="str">
        <f t="shared" si="17"/>
        <v>금원(금영원)</v>
      </c>
      <c r="AD47" t="str">
        <f t="shared" ref="AD47" si="413">M47</f>
        <v>2022년 01월 14일</v>
      </c>
      <c r="AE47" t="str">
        <f t="shared" ref="AE47" si="414">O47</f>
        <v>2022년 01월 17일</v>
      </c>
      <c r="AF47" t="str">
        <f t="shared" ref="AF47" si="415">O47</f>
        <v>2022년 01월 17일</v>
      </c>
      <c r="AG47" t="str">
        <f t="shared" ref="AG47" si="416">O47</f>
        <v>2022년 01월 17일</v>
      </c>
      <c r="AH47">
        <f t="shared" si="62"/>
        <v>46</v>
      </c>
    </row>
    <row r="48" spans="1:34">
      <c r="A48" s="7" t="s">
        <v>122</v>
      </c>
      <c r="B48" s="7" t="s">
        <v>123</v>
      </c>
      <c r="C48" s="10">
        <v>44575</v>
      </c>
      <c r="D48" s="10">
        <v>44575</v>
      </c>
      <c r="E48" s="10">
        <v>44575</v>
      </c>
      <c r="F48" s="10">
        <v>44578</v>
      </c>
      <c r="G48" s="17">
        <v>1045000</v>
      </c>
      <c r="I48" s="21" t="s">
        <v>110</v>
      </c>
      <c r="J48" s="8" t="str">
        <f t="shared" si="279"/>
        <v>금1,045,000원(금일백사만오천원)</v>
      </c>
      <c r="K48" s="8" t="str">
        <f t="shared" si="1"/>
        <v>금원(금영원)</v>
      </c>
      <c r="L48" t="str">
        <f t="shared" si="280"/>
        <v>2022년 01월 14일</v>
      </c>
      <c r="M48" s="4" t="str">
        <f t="shared" si="281"/>
        <v>2022년 01월 14일</v>
      </c>
      <c r="N48" s="4" t="str">
        <f t="shared" si="282"/>
        <v>2022년 01월 14일</v>
      </c>
      <c r="O48" t="str">
        <f t="shared" si="283"/>
        <v>2022년 01월 17일</v>
      </c>
      <c r="P48" t="str">
        <f t="shared" si="284"/>
        <v>양재리본타워1단지 102-2003 개별보일러 교체</v>
      </c>
      <c r="Q48" t="str">
        <f t="shared" si="285"/>
        <v>양재리본타워1단지 102-2003 개별보일러 교체</v>
      </c>
      <c r="R48" t="str">
        <f t="shared" si="286"/>
        <v>양재리본타워1단지 102-2003 개별보일러 교체</v>
      </c>
      <c r="S48" t="str">
        <f t="shared" si="287"/>
        <v>금1,045,000원(금일백사만오천원)</v>
      </c>
      <c r="T48" s="18" t="str">
        <f t="shared" si="288"/>
        <v>금원(금영원)</v>
      </c>
      <c r="U48" t="str">
        <f t="shared" ref="U48" si="417">N48</f>
        <v>2022년 01월 14일</v>
      </c>
      <c r="V48" t="str">
        <f t="shared" ref="V48" si="418">L48</f>
        <v>2022년 01월 14일</v>
      </c>
      <c r="W48" t="str">
        <f t="shared" ref="W48" si="419">M48</f>
        <v>2022년 01월 14일</v>
      </c>
      <c r="X48" t="str">
        <f t="shared" ref="X48" si="420">M48</f>
        <v>2022년 01월 14일</v>
      </c>
      <c r="Y48" t="str">
        <f t="shared" ref="Y48" si="421">M48</f>
        <v>2022년 01월 14일</v>
      </c>
      <c r="Z48" t="str">
        <f t="shared" si="294"/>
        <v>양재리본타워1단지 102-2003 개별보일러 교체</v>
      </c>
      <c r="AA48" t="str">
        <f t="shared" si="295"/>
        <v>양재리본타워1단지 102-2003 개별보일러 교체</v>
      </c>
      <c r="AB48" t="str">
        <f t="shared" si="16"/>
        <v>금원(금영원)</v>
      </c>
      <c r="AC48" t="str">
        <f t="shared" si="17"/>
        <v>금원(금영원)</v>
      </c>
      <c r="AD48" t="str">
        <f t="shared" ref="AD48" si="422">M48</f>
        <v>2022년 01월 14일</v>
      </c>
      <c r="AE48" t="str">
        <f t="shared" ref="AE48" si="423">O48</f>
        <v>2022년 01월 17일</v>
      </c>
      <c r="AF48" t="str">
        <f t="shared" ref="AF48" si="424">O48</f>
        <v>2022년 01월 17일</v>
      </c>
      <c r="AG48" t="str">
        <f t="shared" ref="AG48" si="425">O48</f>
        <v>2022년 01월 17일</v>
      </c>
      <c r="AH48">
        <f t="shared" si="62"/>
        <v>47</v>
      </c>
    </row>
    <row r="49" spans="1:34">
      <c r="A49" s="7" t="s">
        <v>124</v>
      </c>
      <c r="B49" s="7" t="s">
        <v>109</v>
      </c>
      <c r="C49" s="10">
        <v>44575</v>
      </c>
      <c r="D49" s="10">
        <v>44575</v>
      </c>
      <c r="E49" s="10">
        <v>44575</v>
      </c>
      <c r="F49" s="10">
        <v>44578</v>
      </c>
      <c r="G49" s="17">
        <v>2244000</v>
      </c>
      <c r="I49" s="21" t="s">
        <v>79</v>
      </c>
      <c r="J49" s="8" t="str">
        <f t="shared" si="279"/>
        <v>금2,244,000원(금이백이십사만사천원)</v>
      </c>
      <c r="K49" s="8" t="str">
        <f t="shared" si="1"/>
        <v>금원(금영원)</v>
      </c>
      <c r="L49" t="str">
        <f t="shared" si="280"/>
        <v>2022년 01월 14일</v>
      </c>
      <c r="M49" s="4" t="str">
        <f t="shared" si="281"/>
        <v>2022년 01월 14일</v>
      </c>
      <c r="N49" s="4" t="str">
        <f t="shared" si="282"/>
        <v>2022년 01월 14일</v>
      </c>
      <c r="O49" t="str">
        <f t="shared" si="283"/>
        <v>2022년 01월 17일</v>
      </c>
      <c r="P49" t="str">
        <f t="shared" si="284"/>
        <v>양재리본타워2단지 승강기 203동1호기 제어기판(CPUA) 교체</v>
      </c>
      <c r="Q49" t="str">
        <f t="shared" si="285"/>
        <v>양재리본타워2단지 승강기 203동1호기 제어기판(CPUA) 교체</v>
      </c>
      <c r="R49" t="str">
        <f t="shared" si="286"/>
        <v>양재리본타워2단지 승강기 203동1호기 제어기판(CPUA) 교체</v>
      </c>
      <c r="S49" t="str">
        <f t="shared" si="287"/>
        <v>금2,244,000원(금이백이십사만사천원)</v>
      </c>
      <c r="T49" s="18" t="str">
        <f t="shared" si="288"/>
        <v>금원(금영원)</v>
      </c>
      <c r="U49" t="str">
        <f t="shared" ref="U49" si="426">N49</f>
        <v>2022년 01월 14일</v>
      </c>
      <c r="V49" t="str">
        <f t="shared" ref="V49" si="427">L49</f>
        <v>2022년 01월 14일</v>
      </c>
      <c r="W49" t="str">
        <f t="shared" ref="W49" si="428">M49</f>
        <v>2022년 01월 14일</v>
      </c>
      <c r="X49" t="str">
        <f t="shared" ref="X49" si="429">M49</f>
        <v>2022년 01월 14일</v>
      </c>
      <c r="Y49" t="str">
        <f t="shared" ref="Y49" si="430">M49</f>
        <v>2022년 01월 14일</v>
      </c>
      <c r="Z49" t="str">
        <f t="shared" si="294"/>
        <v>양재리본타워2단지 승강기 203동1호기 제어기판(CPUA) 교체</v>
      </c>
      <c r="AA49" t="str">
        <f t="shared" si="295"/>
        <v>양재리본타워2단지 승강기 203동1호기 제어기판(CPUA) 교체</v>
      </c>
      <c r="AB49" t="str">
        <f t="shared" si="16"/>
        <v>금원(금영원)</v>
      </c>
      <c r="AC49" t="str">
        <f t="shared" si="17"/>
        <v>금원(금영원)</v>
      </c>
      <c r="AD49" t="str">
        <f t="shared" ref="AD49" si="431">M49</f>
        <v>2022년 01월 14일</v>
      </c>
      <c r="AE49" t="str">
        <f t="shared" ref="AE49" si="432">O49</f>
        <v>2022년 01월 17일</v>
      </c>
      <c r="AF49" t="str">
        <f t="shared" ref="AF49" si="433">O49</f>
        <v>2022년 01월 17일</v>
      </c>
      <c r="AG49" t="str">
        <f t="shared" ref="AG49" si="434">O49</f>
        <v>2022년 01월 17일</v>
      </c>
      <c r="AH49">
        <f t="shared" si="62"/>
        <v>48</v>
      </c>
    </row>
    <row r="50" spans="1:34">
      <c r="A50" s="7" t="s">
        <v>125</v>
      </c>
      <c r="B50" s="7" t="s">
        <v>123</v>
      </c>
      <c r="C50" s="10">
        <v>44581</v>
      </c>
      <c r="D50" s="10">
        <v>44581</v>
      </c>
      <c r="E50" s="10">
        <v>44581</v>
      </c>
      <c r="F50" s="10">
        <v>44586</v>
      </c>
      <c r="G50" s="17">
        <v>1111000</v>
      </c>
      <c r="I50" s="21" t="s">
        <v>44</v>
      </c>
      <c r="J50" s="8" t="str">
        <f t="shared" si="279"/>
        <v>금1,111,000원(금일백일십일만일천원)</v>
      </c>
      <c r="K50" s="8" t="str">
        <f t="shared" si="1"/>
        <v>금원(금영원)</v>
      </c>
      <c r="L50" t="str">
        <f t="shared" si="280"/>
        <v>2022년 01월 20일</v>
      </c>
      <c r="M50" s="4" t="str">
        <f t="shared" si="281"/>
        <v>2022년 01월 20일</v>
      </c>
      <c r="N50" s="4" t="str">
        <f t="shared" si="282"/>
        <v>2022년 01월 20일</v>
      </c>
      <c r="O50" t="str">
        <f t="shared" si="283"/>
        <v>2022년 01월 25일</v>
      </c>
      <c r="P50" t="str">
        <f t="shared" si="284"/>
        <v>네이처힐가든 경로당 개별보일러 교체</v>
      </c>
      <c r="Q50" t="str">
        <f t="shared" si="285"/>
        <v>네이처힐가든 경로당 개별보일러 교체</v>
      </c>
      <c r="R50" t="str">
        <f t="shared" si="286"/>
        <v>네이처힐가든 경로당 개별보일러 교체</v>
      </c>
      <c r="S50" t="str">
        <f t="shared" si="287"/>
        <v>금1,111,000원(금일백일십일만일천원)</v>
      </c>
      <c r="T50" s="18" t="str">
        <f t="shared" si="288"/>
        <v>금원(금영원)</v>
      </c>
      <c r="U50" t="str">
        <f t="shared" ref="U50" si="435">N50</f>
        <v>2022년 01월 20일</v>
      </c>
      <c r="V50" t="str">
        <f t="shared" ref="V50" si="436">L50</f>
        <v>2022년 01월 20일</v>
      </c>
      <c r="W50" t="str">
        <f t="shared" ref="W50" si="437">M50</f>
        <v>2022년 01월 20일</v>
      </c>
      <c r="X50" t="str">
        <f t="shared" ref="X50" si="438">M50</f>
        <v>2022년 01월 20일</v>
      </c>
      <c r="Y50" t="str">
        <f t="shared" ref="Y50" si="439">M50</f>
        <v>2022년 01월 20일</v>
      </c>
      <c r="Z50" t="str">
        <f t="shared" si="294"/>
        <v>네이처힐가든 경로당 개별보일러 교체</v>
      </c>
      <c r="AA50" t="str">
        <f t="shared" si="295"/>
        <v>네이처힐가든 경로당 개별보일러 교체</v>
      </c>
      <c r="AB50" t="str">
        <f t="shared" si="16"/>
        <v>금원(금영원)</v>
      </c>
      <c r="AC50" t="str">
        <f t="shared" si="17"/>
        <v>금원(금영원)</v>
      </c>
      <c r="AD50" t="str">
        <f t="shared" ref="AD50" si="440">M50</f>
        <v>2022년 01월 20일</v>
      </c>
      <c r="AE50" t="str">
        <f t="shared" ref="AE50" si="441">O50</f>
        <v>2022년 01월 25일</v>
      </c>
      <c r="AF50" t="str">
        <f t="shared" ref="AF50" si="442">O50</f>
        <v>2022년 01월 25일</v>
      </c>
      <c r="AG50" t="str">
        <f t="shared" ref="AG50" si="443">O50</f>
        <v>2022년 01월 25일</v>
      </c>
      <c r="AH50">
        <f t="shared" si="62"/>
        <v>49</v>
      </c>
    </row>
    <row r="51" spans="1:34">
      <c r="A51" s="7" t="s">
        <v>126</v>
      </c>
      <c r="B51" s="7" t="s">
        <v>85</v>
      </c>
      <c r="C51" s="10">
        <v>44596</v>
      </c>
      <c r="D51" s="10">
        <v>44599</v>
      </c>
      <c r="E51" s="10">
        <v>44596</v>
      </c>
      <c r="F51" s="10">
        <v>44601</v>
      </c>
      <c r="G51" s="17">
        <v>1639000</v>
      </c>
      <c r="I51" s="21" t="s">
        <v>44</v>
      </c>
      <c r="J51" s="8" t="str">
        <f t="shared" si="279"/>
        <v>금1,639,000원(금일백육십삼만구천원)</v>
      </c>
      <c r="K51" s="8" t="str">
        <f t="shared" si="1"/>
        <v>금원(금영원)</v>
      </c>
      <c r="L51" t="str">
        <f t="shared" si="280"/>
        <v>2022년 02월 04일</v>
      </c>
      <c r="M51" s="4" t="str">
        <f t="shared" si="281"/>
        <v>2022년 02월 07일</v>
      </c>
      <c r="N51" s="4" t="str">
        <f t="shared" si="282"/>
        <v>2022년 02월 04일</v>
      </c>
      <c r="O51" t="str">
        <f t="shared" si="283"/>
        <v>2022년 02월 09일</v>
      </c>
      <c r="P51" t="str">
        <f t="shared" si="284"/>
        <v>2021년도 서초네이처힐5단지 소방지적사항 보수공사</v>
      </c>
      <c r="Q51" t="str">
        <f t="shared" si="285"/>
        <v>2021년도 서초네이처힐5단지 소방지적사항 보수공사</v>
      </c>
      <c r="R51" t="str">
        <f t="shared" si="286"/>
        <v>2021년도 서초네이처힐5단지 소방지적사항 보수공사</v>
      </c>
      <c r="S51" t="str">
        <f t="shared" si="287"/>
        <v>금1,639,000원(금일백육십삼만구천원)</v>
      </c>
      <c r="T51" s="18" t="str">
        <f t="shared" si="288"/>
        <v>금원(금영원)</v>
      </c>
      <c r="U51" t="str">
        <f t="shared" ref="U51" si="444">N51</f>
        <v>2022년 02월 04일</v>
      </c>
      <c r="V51" t="str">
        <f t="shared" ref="V51" si="445">L51</f>
        <v>2022년 02월 04일</v>
      </c>
      <c r="W51" t="str">
        <f t="shared" ref="W51" si="446">M51</f>
        <v>2022년 02월 07일</v>
      </c>
      <c r="X51" t="str">
        <f t="shared" ref="X51" si="447">M51</f>
        <v>2022년 02월 07일</v>
      </c>
      <c r="Y51" t="str">
        <f t="shared" ref="Y51" si="448">M51</f>
        <v>2022년 02월 07일</v>
      </c>
      <c r="Z51" t="str">
        <f t="shared" si="294"/>
        <v>2021년도 서초네이처힐5단지 소방지적사항 보수공사</v>
      </c>
      <c r="AA51" t="str">
        <f t="shared" si="295"/>
        <v>2021년도 서초네이처힐5단지 소방지적사항 보수공사</v>
      </c>
      <c r="AB51" t="str">
        <f t="shared" si="16"/>
        <v>금원(금영원)</v>
      </c>
      <c r="AC51" t="str">
        <f t="shared" si="17"/>
        <v>금원(금영원)</v>
      </c>
      <c r="AD51" t="str">
        <f t="shared" ref="AD51" si="449">M51</f>
        <v>2022년 02월 07일</v>
      </c>
      <c r="AE51" t="str">
        <f t="shared" ref="AE51" si="450">O51</f>
        <v>2022년 02월 09일</v>
      </c>
      <c r="AF51" t="str">
        <f t="shared" ref="AF51" si="451">O51</f>
        <v>2022년 02월 09일</v>
      </c>
      <c r="AG51" t="str">
        <f t="shared" ref="AG51" si="452">O51</f>
        <v>2022년 02월 09일</v>
      </c>
      <c r="AH51">
        <f t="shared" si="62"/>
        <v>50</v>
      </c>
    </row>
    <row r="52" spans="1:34">
      <c r="A52" s="7" t="s">
        <v>127</v>
      </c>
      <c r="B52" s="7" t="s">
        <v>76</v>
      </c>
      <c r="C52" s="10">
        <v>44601</v>
      </c>
      <c r="D52" s="10">
        <v>44605</v>
      </c>
      <c r="E52" s="10">
        <v>44601</v>
      </c>
      <c r="F52" s="10">
        <v>44614</v>
      </c>
      <c r="G52" s="17">
        <v>17882000</v>
      </c>
      <c r="I52" s="21" t="s">
        <v>50</v>
      </c>
      <c r="J52" s="8" t="str">
        <f t="shared" si="279"/>
        <v>금17,882,000원(금일천칠백팔십팔만이천원)</v>
      </c>
      <c r="K52" s="8" t="str">
        <f t="shared" si="1"/>
        <v>금원(금영원)</v>
      </c>
      <c r="L52" t="str">
        <f t="shared" si="280"/>
        <v>2022년 02월 09일</v>
      </c>
      <c r="M52" s="4" t="str">
        <f t="shared" si="281"/>
        <v>2022년 02월 13일</v>
      </c>
      <c r="N52" s="4" t="str">
        <f t="shared" si="282"/>
        <v>2022년 02월 09일</v>
      </c>
      <c r="O52" t="str">
        <f t="shared" si="283"/>
        <v>2022년 02월 22일</v>
      </c>
      <c r="P52" t="str">
        <f t="shared" si="284"/>
        <v>양재리본타워2단지 승강기 203-3 주로프 및 세컨시브 교체공사</v>
      </c>
      <c r="Q52" t="str">
        <f t="shared" si="285"/>
        <v>양재리본타워2단지 승강기 203-3 주로프 및 세컨시브 교체공사</v>
      </c>
      <c r="R52" t="str">
        <f t="shared" si="286"/>
        <v>양재리본타워2단지 승강기 203-3 주로프 및 세컨시브 교체공사</v>
      </c>
      <c r="S52" t="str">
        <f t="shared" si="287"/>
        <v>금17,882,000원(금일천칠백팔십팔만이천원)</v>
      </c>
      <c r="T52" s="18" t="str">
        <f t="shared" si="288"/>
        <v>금원(금영원)</v>
      </c>
      <c r="U52" t="str">
        <f t="shared" ref="U52" si="453">N52</f>
        <v>2022년 02월 09일</v>
      </c>
      <c r="V52" t="str">
        <f t="shared" ref="V52" si="454">L52</f>
        <v>2022년 02월 09일</v>
      </c>
      <c r="W52" t="str">
        <f t="shared" ref="W52" si="455">M52</f>
        <v>2022년 02월 13일</v>
      </c>
      <c r="X52" t="str">
        <f t="shared" ref="X52" si="456">M52</f>
        <v>2022년 02월 13일</v>
      </c>
      <c r="Y52" t="str">
        <f t="shared" ref="Y52" si="457">M52</f>
        <v>2022년 02월 13일</v>
      </c>
      <c r="Z52" t="str">
        <f t="shared" si="294"/>
        <v>양재리본타워2단지 승강기 203-3 주로프 및 세컨시브 교체공사</v>
      </c>
      <c r="AA52" t="str">
        <f t="shared" si="295"/>
        <v>양재리본타워2단지 승강기 203-3 주로프 및 세컨시브 교체공사</v>
      </c>
      <c r="AB52" t="str">
        <f t="shared" si="16"/>
        <v>금원(금영원)</v>
      </c>
      <c r="AC52" t="str">
        <f t="shared" si="17"/>
        <v>금원(금영원)</v>
      </c>
      <c r="AD52" t="str">
        <f t="shared" ref="AD52" si="458">M52</f>
        <v>2022년 02월 13일</v>
      </c>
      <c r="AE52" t="str">
        <f t="shared" ref="AE52" si="459">O52</f>
        <v>2022년 02월 22일</v>
      </c>
      <c r="AF52" t="str">
        <f t="shared" ref="AF52" si="460">O52</f>
        <v>2022년 02월 22일</v>
      </c>
      <c r="AG52" t="str">
        <f t="shared" ref="AG52" si="461">O52</f>
        <v>2022년 02월 22일</v>
      </c>
      <c r="AH52">
        <f t="shared" si="62"/>
        <v>51</v>
      </c>
    </row>
    <row r="53" spans="1:34">
      <c r="A53" s="7" t="s">
        <v>128</v>
      </c>
      <c r="B53" s="7" t="s">
        <v>57</v>
      </c>
      <c r="C53" s="10">
        <v>44617</v>
      </c>
      <c r="D53" s="10">
        <v>44617</v>
      </c>
      <c r="E53" s="10">
        <v>44617</v>
      </c>
      <c r="F53" s="10">
        <v>44617</v>
      </c>
      <c r="G53" s="17">
        <v>946000</v>
      </c>
      <c r="I53" s="21" t="s">
        <v>39</v>
      </c>
      <c r="J53" s="8" t="str">
        <f t="shared" si="279"/>
        <v>금946,000원(금구십사만육천원)</v>
      </c>
      <c r="K53" s="8" t="str">
        <f t="shared" si="1"/>
        <v>금원(금영원)</v>
      </c>
      <c r="L53" t="str">
        <f t="shared" si="280"/>
        <v>2022년 02월 25일</v>
      </c>
      <c r="M53" s="4" t="str">
        <f t="shared" si="281"/>
        <v>2022년 02월 25일</v>
      </c>
      <c r="N53" s="4" t="str">
        <f t="shared" si="282"/>
        <v>2022년 02월 25일</v>
      </c>
      <c r="O53" t="str">
        <f t="shared" si="283"/>
        <v>2022년 02월 25일</v>
      </c>
      <c r="P53" t="str">
        <f t="shared" si="284"/>
        <v>서초네이처힐5단지 508-102 개별보일러 교체</v>
      </c>
      <c r="Q53" t="str">
        <f t="shared" si="285"/>
        <v>서초네이처힐5단지 508-102 개별보일러 교체</v>
      </c>
      <c r="R53" t="str">
        <f t="shared" si="286"/>
        <v>서초네이처힐5단지 508-102 개별보일러 교체</v>
      </c>
      <c r="S53" t="str">
        <f t="shared" si="287"/>
        <v>금946,000원(금구십사만육천원)</v>
      </c>
      <c r="T53" s="18" t="str">
        <f t="shared" si="288"/>
        <v>금원(금영원)</v>
      </c>
      <c r="U53" t="str">
        <f t="shared" ref="U53" si="462">N53</f>
        <v>2022년 02월 25일</v>
      </c>
      <c r="V53" t="str">
        <f t="shared" ref="V53" si="463">L53</f>
        <v>2022년 02월 25일</v>
      </c>
      <c r="W53" t="str">
        <f t="shared" ref="W53" si="464">M53</f>
        <v>2022년 02월 25일</v>
      </c>
      <c r="X53" t="str">
        <f t="shared" ref="X53" si="465">M53</f>
        <v>2022년 02월 25일</v>
      </c>
      <c r="Y53" t="str">
        <f t="shared" ref="Y53" si="466">M53</f>
        <v>2022년 02월 25일</v>
      </c>
      <c r="Z53" t="str">
        <f t="shared" si="294"/>
        <v>서초네이처힐5단지 508-102 개별보일러 교체</v>
      </c>
      <c r="AA53" t="str">
        <f t="shared" si="295"/>
        <v>서초네이처힐5단지 508-102 개별보일러 교체</v>
      </c>
      <c r="AB53" t="str">
        <f t="shared" si="16"/>
        <v>금원(금영원)</v>
      </c>
      <c r="AC53" t="str">
        <f t="shared" si="17"/>
        <v>금원(금영원)</v>
      </c>
      <c r="AD53" t="str">
        <f t="shared" ref="AD53" si="467">M53</f>
        <v>2022년 02월 25일</v>
      </c>
      <c r="AE53" t="str">
        <f t="shared" ref="AE53" si="468">O53</f>
        <v>2022년 02월 25일</v>
      </c>
      <c r="AF53" t="str">
        <f t="shared" ref="AF53" si="469">O53</f>
        <v>2022년 02월 25일</v>
      </c>
      <c r="AG53" t="str">
        <f t="shared" ref="AG53" si="470">O53</f>
        <v>2022년 02월 25일</v>
      </c>
      <c r="AH53">
        <f t="shared" si="62"/>
        <v>52</v>
      </c>
    </row>
    <row r="54" spans="1:34">
      <c r="A54" s="7" t="s">
        <v>129</v>
      </c>
      <c r="B54" s="7" t="s">
        <v>123</v>
      </c>
      <c r="C54" s="10">
        <v>44617</v>
      </c>
      <c r="D54" s="10">
        <v>44617</v>
      </c>
      <c r="E54" s="10">
        <v>44617</v>
      </c>
      <c r="F54" s="10">
        <v>44622</v>
      </c>
      <c r="G54" s="17">
        <v>1155000</v>
      </c>
      <c r="I54" s="21" t="s">
        <v>113</v>
      </c>
      <c r="J54" s="8" t="str">
        <f t="shared" si="279"/>
        <v>금1,155,000원(금일백일십오만오천원)</v>
      </c>
      <c r="K54" s="8" t="str">
        <f t="shared" si="1"/>
        <v>금원(금영원)</v>
      </c>
      <c r="L54" t="str">
        <f t="shared" si="280"/>
        <v>2022년 02월 25일</v>
      </c>
      <c r="M54" s="4" t="str">
        <f t="shared" si="281"/>
        <v>2022년 02월 25일</v>
      </c>
      <c r="N54" s="4" t="str">
        <f t="shared" si="282"/>
        <v>2022년 02월 25일</v>
      </c>
      <c r="O54" t="str">
        <f t="shared" si="283"/>
        <v>2022년 03월 02일</v>
      </c>
      <c r="P54" t="str">
        <f t="shared" si="284"/>
        <v>네이처힐가든 116-402 개별보일러 교체</v>
      </c>
      <c r="Q54" t="str">
        <f t="shared" si="285"/>
        <v>네이처힐가든 116-402 개별보일러 교체</v>
      </c>
      <c r="R54" t="str">
        <f t="shared" si="286"/>
        <v>네이처힐가든 116-402 개별보일러 교체</v>
      </c>
      <c r="S54" t="str">
        <f t="shared" si="287"/>
        <v>금1,155,000원(금일백일십오만오천원)</v>
      </c>
      <c r="T54" s="18" t="str">
        <f t="shared" si="288"/>
        <v>금원(금영원)</v>
      </c>
      <c r="U54" t="str">
        <f t="shared" ref="U54" si="471">N54</f>
        <v>2022년 02월 25일</v>
      </c>
      <c r="V54" t="str">
        <f t="shared" ref="V54" si="472">L54</f>
        <v>2022년 02월 25일</v>
      </c>
      <c r="W54" t="str">
        <f t="shared" ref="W54" si="473">M54</f>
        <v>2022년 02월 25일</v>
      </c>
      <c r="X54" t="str">
        <f t="shared" ref="X54" si="474">M54</f>
        <v>2022년 02월 25일</v>
      </c>
      <c r="Y54" t="str">
        <f t="shared" ref="Y54" si="475">M54</f>
        <v>2022년 02월 25일</v>
      </c>
      <c r="Z54" t="str">
        <f t="shared" si="294"/>
        <v>네이처힐가든 116-402 개별보일러 교체</v>
      </c>
      <c r="AA54" t="str">
        <f t="shared" si="295"/>
        <v>네이처힐가든 116-402 개별보일러 교체</v>
      </c>
      <c r="AB54" t="str">
        <f t="shared" si="16"/>
        <v>금원(금영원)</v>
      </c>
      <c r="AC54" t="str">
        <f t="shared" si="17"/>
        <v>금원(금영원)</v>
      </c>
      <c r="AD54" t="str">
        <f t="shared" ref="AD54" si="476">M54</f>
        <v>2022년 02월 25일</v>
      </c>
      <c r="AE54" t="str">
        <f t="shared" ref="AE54" si="477">O54</f>
        <v>2022년 03월 02일</v>
      </c>
      <c r="AF54" t="str">
        <f t="shared" ref="AF54" si="478">O54</f>
        <v>2022년 03월 02일</v>
      </c>
      <c r="AG54" t="str">
        <f t="shared" ref="AG54" si="479">O54</f>
        <v>2022년 03월 02일</v>
      </c>
      <c r="AH54">
        <f t="shared" si="62"/>
        <v>53</v>
      </c>
    </row>
    <row r="55" spans="1:34">
      <c r="A55" s="7" t="s">
        <v>130</v>
      </c>
      <c r="B55" s="7" t="s">
        <v>131</v>
      </c>
      <c r="C55" s="10">
        <v>44624</v>
      </c>
      <c r="D55" s="10">
        <v>44630</v>
      </c>
      <c r="E55" s="10">
        <v>44624</v>
      </c>
      <c r="F55" s="10">
        <v>44637</v>
      </c>
      <c r="G55" s="17">
        <v>46322000</v>
      </c>
      <c r="I55" s="21" t="s">
        <v>132</v>
      </c>
      <c r="J55" s="8" t="str">
        <f t="shared" si="279"/>
        <v>금46,322,000원(금사천육백삼십이만이천원)</v>
      </c>
      <c r="K55" s="8" t="str">
        <f t="shared" si="1"/>
        <v>금원(금영원)</v>
      </c>
      <c r="L55" t="str">
        <f t="shared" si="280"/>
        <v>2022년 03월 04일</v>
      </c>
      <c r="M55" s="4" t="str">
        <f t="shared" si="281"/>
        <v>2022년 03월 10일</v>
      </c>
      <c r="N55" s="4" t="str">
        <f t="shared" si="282"/>
        <v>2022년 03월 04일</v>
      </c>
      <c r="O55" t="str">
        <f t="shared" si="283"/>
        <v>2022년 03월 17일</v>
      </c>
      <c r="P55" t="str">
        <f t="shared" si="284"/>
        <v>서초포레스타 204동 301호 외 11세대 입주예정세대 시설물 보수공사</v>
      </c>
      <c r="Q55" t="str">
        <f t="shared" si="285"/>
        <v>서초포레스타 204동 301호 외 11세대 입주예정세대 시설물 보수공사</v>
      </c>
      <c r="R55" t="str">
        <f t="shared" si="286"/>
        <v>서초포레스타 204동 301호 외 11세대 입주예정세대 시설물 보수공사</v>
      </c>
      <c r="S55" t="str">
        <f t="shared" si="287"/>
        <v>금46,322,000원(금사천육백삼십이만이천원)</v>
      </c>
      <c r="T55" s="18" t="str">
        <f t="shared" si="288"/>
        <v>금원(금영원)</v>
      </c>
      <c r="U55" t="str">
        <f t="shared" ref="U55" si="480">N55</f>
        <v>2022년 03월 04일</v>
      </c>
      <c r="V55" t="str">
        <f t="shared" ref="V55" si="481">L55</f>
        <v>2022년 03월 04일</v>
      </c>
      <c r="W55" t="str">
        <f t="shared" ref="W55" si="482">M55</f>
        <v>2022년 03월 10일</v>
      </c>
      <c r="X55" t="str">
        <f t="shared" ref="X55" si="483">M55</f>
        <v>2022년 03월 10일</v>
      </c>
      <c r="Y55" t="str">
        <f t="shared" ref="Y55" si="484">M55</f>
        <v>2022년 03월 10일</v>
      </c>
      <c r="Z55" t="str">
        <f t="shared" si="294"/>
        <v>서초포레스타 204동 301호 외 11세대 입주예정세대 시설물 보수공사</v>
      </c>
      <c r="AA55" t="str">
        <f t="shared" si="295"/>
        <v>서초포레스타 204동 301호 외 11세대 입주예정세대 시설물 보수공사</v>
      </c>
      <c r="AB55" t="str">
        <f t="shared" si="16"/>
        <v>금원(금영원)</v>
      </c>
      <c r="AC55" t="str">
        <f t="shared" si="17"/>
        <v>금원(금영원)</v>
      </c>
      <c r="AD55" t="str">
        <f t="shared" ref="AD55" si="485">M55</f>
        <v>2022년 03월 10일</v>
      </c>
      <c r="AE55" t="str">
        <f t="shared" ref="AE55" si="486">O55</f>
        <v>2022년 03월 17일</v>
      </c>
      <c r="AF55" t="str">
        <f t="shared" ref="AF55" si="487">O55</f>
        <v>2022년 03월 17일</v>
      </c>
      <c r="AG55" t="str">
        <f t="shared" ref="AG55" si="488">O55</f>
        <v>2022년 03월 17일</v>
      </c>
      <c r="AH55">
        <f t="shared" si="62"/>
        <v>54</v>
      </c>
    </row>
    <row r="56" spans="1:34">
      <c r="A56" s="7" t="s">
        <v>133</v>
      </c>
      <c r="B56" s="7" t="s">
        <v>76</v>
      </c>
      <c r="C56" s="10">
        <v>44641</v>
      </c>
      <c r="D56" s="10">
        <v>44645</v>
      </c>
      <c r="E56" s="10">
        <v>44641</v>
      </c>
      <c r="F56" s="10">
        <v>44656</v>
      </c>
      <c r="G56" s="17">
        <v>15675000</v>
      </c>
      <c r="I56" s="21" t="s">
        <v>134</v>
      </c>
      <c r="J56" s="8" t="str">
        <f t="shared" si="279"/>
        <v>금15,675,000원(금일천오백육십칠만오천원)</v>
      </c>
      <c r="K56" s="8" t="str">
        <f t="shared" si="1"/>
        <v>금원(금영원)</v>
      </c>
      <c r="L56" t="str">
        <f t="shared" si="280"/>
        <v>2022년 03월 21일</v>
      </c>
      <c r="M56" s="4" t="str">
        <f t="shared" si="281"/>
        <v>2022년 03월 25일</v>
      </c>
      <c r="N56" s="4" t="str">
        <f t="shared" si="282"/>
        <v>2022년 03월 21일</v>
      </c>
      <c r="O56" t="str">
        <f t="shared" si="283"/>
        <v>2022년 04월 05일</v>
      </c>
      <c r="P56" t="str">
        <f t="shared" si="284"/>
        <v>양재리본타워1단지 승강기 101 및 102동 가바나 교체공사</v>
      </c>
      <c r="Q56" t="str">
        <f t="shared" si="285"/>
        <v>양재리본타워1단지 승강기 101 및 102동 가바나 교체공사</v>
      </c>
      <c r="R56" t="str">
        <f t="shared" si="286"/>
        <v>양재리본타워1단지 승강기 101 및 102동 가바나 교체공사</v>
      </c>
      <c r="S56" t="str">
        <f t="shared" si="287"/>
        <v>금15,675,000원(금일천오백육십칠만오천원)</v>
      </c>
      <c r="T56" s="18" t="str">
        <f t="shared" si="288"/>
        <v>금원(금영원)</v>
      </c>
      <c r="U56" t="str">
        <f t="shared" ref="U56" si="489">N56</f>
        <v>2022년 03월 21일</v>
      </c>
      <c r="V56" t="str">
        <f t="shared" ref="V56" si="490">L56</f>
        <v>2022년 03월 21일</v>
      </c>
      <c r="W56" t="str">
        <f t="shared" ref="W56" si="491">M56</f>
        <v>2022년 03월 25일</v>
      </c>
      <c r="X56" t="str">
        <f t="shared" ref="X56" si="492">M56</f>
        <v>2022년 03월 25일</v>
      </c>
      <c r="Y56" t="str">
        <f t="shared" ref="Y56" si="493">M56</f>
        <v>2022년 03월 25일</v>
      </c>
      <c r="Z56" t="str">
        <f t="shared" si="294"/>
        <v>양재리본타워1단지 승강기 101 및 102동 가바나 교체공사</v>
      </c>
      <c r="AA56" t="str">
        <f t="shared" si="295"/>
        <v>양재리본타워1단지 승강기 101 및 102동 가바나 교체공사</v>
      </c>
      <c r="AB56" t="str">
        <f t="shared" si="16"/>
        <v>금원(금영원)</v>
      </c>
      <c r="AC56" t="str">
        <f t="shared" si="17"/>
        <v>금원(금영원)</v>
      </c>
      <c r="AD56" t="str">
        <f t="shared" ref="AD56" si="494">M56</f>
        <v>2022년 03월 25일</v>
      </c>
      <c r="AE56" t="str">
        <f t="shared" ref="AE56" si="495">O56</f>
        <v>2022년 04월 05일</v>
      </c>
      <c r="AF56" t="str">
        <f t="shared" ref="AF56" si="496">O56</f>
        <v>2022년 04월 05일</v>
      </c>
      <c r="AG56" t="str">
        <f t="shared" ref="AG56" si="497">O56</f>
        <v>2022년 04월 05일</v>
      </c>
      <c r="AH56">
        <f t="shared" si="62"/>
        <v>55</v>
      </c>
    </row>
    <row r="57" spans="1:34">
      <c r="A57" s="7" t="s">
        <v>135</v>
      </c>
      <c r="B57" s="7" t="s">
        <v>76</v>
      </c>
      <c r="C57" s="10">
        <v>44649</v>
      </c>
      <c r="D57" s="10">
        <v>44650</v>
      </c>
      <c r="E57" s="10">
        <v>44649</v>
      </c>
      <c r="F57" s="10">
        <v>44656</v>
      </c>
      <c r="G57" s="17">
        <v>13085000</v>
      </c>
      <c r="I57" s="21" t="s">
        <v>79</v>
      </c>
      <c r="J57" s="8" t="str">
        <f t="shared" si="279"/>
        <v>금13,085,000원(금일천삼백팔만오천원)</v>
      </c>
      <c r="K57" s="8" t="str">
        <f t="shared" si="1"/>
        <v>금원(금영원)</v>
      </c>
      <c r="L57" t="str">
        <f t="shared" si="280"/>
        <v>2022년 03월 29일</v>
      </c>
      <c r="M57" s="4" t="str">
        <f t="shared" si="281"/>
        <v>2022년 03월 30일</v>
      </c>
      <c r="N57" s="4" t="str">
        <f t="shared" si="282"/>
        <v>2022년 03월 29일</v>
      </c>
      <c r="O57" t="str">
        <f t="shared" si="283"/>
        <v>2022년 04월 05일</v>
      </c>
      <c r="P57" t="str">
        <f t="shared" si="284"/>
        <v>양재리본타워2단지 승강기 203-2 주로프 교체공사</v>
      </c>
      <c r="Q57" t="str">
        <f t="shared" si="285"/>
        <v>양재리본타워2단지 승강기 203-2 주로프 교체공사</v>
      </c>
      <c r="R57" t="str">
        <f t="shared" si="286"/>
        <v>양재리본타워2단지 승강기 203-2 주로프 교체공사</v>
      </c>
      <c r="S57" t="str">
        <f t="shared" si="287"/>
        <v>금13,085,000원(금일천삼백팔만오천원)</v>
      </c>
      <c r="T57" s="18" t="str">
        <f t="shared" si="288"/>
        <v>금원(금영원)</v>
      </c>
      <c r="U57" t="str">
        <f t="shared" ref="U57" si="498">N57</f>
        <v>2022년 03월 29일</v>
      </c>
      <c r="V57" t="str">
        <f t="shared" ref="V57" si="499">L57</f>
        <v>2022년 03월 29일</v>
      </c>
      <c r="W57" t="str">
        <f t="shared" ref="W57" si="500">M57</f>
        <v>2022년 03월 30일</v>
      </c>
      <c r="X57" t="str">
        <f t="shared" ref="X57" si="501">M57</f>
        <v>2022년 03월 30일</v>
      </c>
      <c r="Y57" t="str">
        <f t="shared" ref="Y57" si="502">M57</f>
        <v>2022년 03월 30일</v>
      </c>
      <c r="Z57" t="str">
        <f t="shared" si="294"/>
        <v>양재리본타워2단지 승강기 203-2 주로프 교체공사</v>
      </c>
      <c r="AA57" t="str">
        <f t="shared" si="295"/>
        <v>양재리본타워2단지 승강기 203-2 주로프 교체공사</v>
      </c>
      <c r="AB57" t="str">
        <f t="shared" si="16"/>
        <v>금원(금영원)</v>
      </c>
      <c r="AC57" t="str">
        <f t="shared" si="17"/>
        <v>금원(금영원)</v>
      </c>
      <c r="AD57" t="str">
        <f t="shared" ref="AD57" si="503">M57</f>
        <v>2022년 03월 30일</v>
      </c>
      <c r="AE57" t="str">
        <f t="shared" ref="AE57" si="504">O57</f>
        <v>2022년 04월 05일</v>
      </c>
      <c r="AF57" t="str">
        <f t="shared" ref="AF57" si="505">O57</f>
        <v>2022년 04월 05일</v>
      </c>
      <c r="AG57" t="str">
        <f t="shared" ref="AG57" si="506">O57</f>
        <v>2022년 04월 05일</v>
      </c>
      <c r="AH57">
        <f t="shared" si="62"/>
        <v>56</v>
      </c>
    </row>
    <row r="58" spans="1:34">
      <c r="A58" s="7" t="s">
        <v>136</v>
      </c>
      <c r="B58" s="7" t="s">
        <v>137</v>
      </c>
      <c r="C58" s="10">
        <v>44659</v>
      </c>
      <c r="D58" s="10">
        <v>44659</v>
      </c>
      <c r="E58" s="10">
        <v>44659</v>
      </c>
      <c r="F58" s="10">
        <v>44659</v>
      </c>
      <c r="G58" s="17">
        <v>286000</v>
      </c>
      <c r="I58" s="21" t="s">
        <v>39</v>
      </c>
      <c r="J58" s="8" t="str">
        <f t="shared" si="279"/>
        <v>금286,000원(금이십팔만육천원)</v>
      </c>
      <c r="K58" s="8" t="str">
        <f t="shared" si="1"/>
        <v>금원(금영원)</v>
      </c>
      <c r="L58" t="str">
        <f t="shared" si="280"/>
        <v>2022년 04월 08일</v>
      </c>
      <c r="M58" s="4" t="str">
        <f t="shared" si="281"/>
        <v>2022년 04월 08일</v>
      </c>
      <c r="N58" s="4" t="str">
        <f t="shared" si="282"/>
        <v>2022년 04월 08일</v>
      </c>
      <c r="O58" t="str">
        <f t="shared" si="283"/>
        <v>2022년 04월 08일</v>
      </c>
      <c r="P58" t="str">
        <f t="shared" si="284"/>
        <v>서초네이처힐5단지 스프링클러 공기압축기 교체</v>
      </c>
      <c r="Q58" t="str">
        <f t="shared" si="285"/>
        <v>서초네이처힐5단지 스프링클러 공기압축기 교체</v>
      </c>
      <c r="R58" t="str">
        <f t="shared" si="286"/>
        <v>서초네이처힐5단지 스프링클러 공기압축기 교체</v>
      </c>
      <c r="S58" t="str">
        <f t="shared" si="287"/>
        <v>금286,000원(금이십팔만육천원)</v>
      </c>
      <c r="T58" s="18" t="str">
        <f t="shared" si="288"/>
        <v>금원(금영원)</v>
      </c>
      <c r="U58" t="str">
        <f t="shared" ref="U58" si="507">N58</f>
        <v>2022년 04월 08일</v>
      </c>
      <c r="V58" t="str">
        <f t="shared" ref="V58" si="508">L58</f>
        <v>2022년 04월 08일</v>
      </c>
      <c r="W58" t="str">
        <f t="shared" ref="W58" si="509">M58</f>
        <v>2022년 04월 08일</v>
      </c>
      <c r="X58" t="str">
        <f t="shared" ref="X58" si="510">M58</f>
        <v>2022년 04월 08일</v>
      </c>
      <c r="Y58" t="str">
        <f t="shared" ref="Y58" si="511">M58</f>
        <v>2022년 04월 08일</v>
      </c>
      <c r="Z58" t="str">
        <f t="shared" si="294"/>
        <v>서초네이처힐5단지 스프링클러 공기압축기 교체</v>
      </c>
      <c r="AA58" t="str">
        <f t="shared" si="295"/>
        <v>서초네이처힐5단지 스프링클러 공기압축기 교체</v>
      </c>
      <c r="AB58" t="str">
        <f t="shared" si="16"/>
        <v>금원(금영원)</v>
      </c>
      <c r="AC58" t="str">
        <f t="shared" si="17"/>
        <v>금원(금영원)</v>
      </c>
      <c r="AD58" t="str">
        <f t="shared" ref="AD58" si="512">M58</f>
        <v>2022년 04월 08일</v>
      </c>
      <c r="AE58" t="str">
        <f t="shared" ref="AE58" si="513">O58</f>
        <v>2022년 04월 08일</v>
      </c>
      <c r="AF58" t="str">
        <f t="shared" ref="AF58" si="514">O58</f>
        <v>2022년 04월 08일</v>
      </c>
      <c r="AG58" t="str">
        <f t="shared" ref="AG58" si="515">O58</f>
        <v>2022년 04월 08일</v>
      </c>
      <c r="AH58">
        <f t="shared" si="62"/>
        <v>57</v>
      </c>
    </row>
    <row r="59" spans="1:34">
      <c r="A59" s="7" t="s">
        <v>138</v>
      </c>
      <c r="B59" s="7" t="s">
        <v>85</v>
      </c>
      <c r="C59" s="10">
        <v>44665</v>
      </c>
      <c r="D59" s="10">
        <v>44666</v>
      </c>
      <c r="E59" s="10">
        <v>44665</v>
      </c>
      <c r="F59" s="10">
        <v>44669</v>
      </c>
      <c r="G59" s="17">
        <v>924000</v>
      </c>
      <c r="I59" s="21" t="s">
        <v>44</v>
      </c>
      <c r="J59" s="8" t="str">
        <f t="shared" si="279"/>
        <v>금924,000원(금구십이만사천원)</v>
      </c>
      <c r="K59" s="8" t="str">
        <f t="shared" si="1"/>
        <v>금원(금영원)</v>
      </c>
      <c r="L59" t="str">
        <f t="shared" si="280"/>
        <v>2022년 04월 14일</v>
      </c>
      <c r="M59" s="4" t="str">
        <f t="shared" si="281"/>
        <v>2022년 04월 15일</v>
      </c>
      <c r="N59" s="4" t="str">
        <f t="shared" si="282"/>
        <v>2022년 04월 14일</v>
      </c>
      <c r="O59" t="str">
        <f t="shared" si="283"/>
        <v>2022년 04월 18일</v>
      </c>
      <c r="P59" t="str">
        <f t="shared" si="284"/>
        <v>네이처힐가든 소방작동기능점검 지적사항 보수</v>
      </c>
      <c r="Q59" t="str">
        <f t="shared" si="285"/>
        <v>네이처힐가든 소방작동기능점검 지적사항 보수</v>
      </c>
      <c r="R59" t="str">
        <f t="shared" si="286"/>
        <v>네이처힐가든 소방작동기능점검 지적사항 보수</v>
      </c>
      <c r="S59" t="str">
        <f t="shared" si="287"/>
        <v>금924,000원(금구십이만사천원)</v>
      </c>
      <c r="T59" s="18" t="str">
        <f t="shared" si="288"/>
        <v>금원(금영원)</v>
      </c>
      <c r="U59" t="str">
        <f t="shared" ref="U59" si="516">N59</f>
        <v>2022년 04월 14일</v>
      </c>
      <c r="V59" t="str">
        <f t="shared" ref="V59" si="517">L59</f>
        <v>2022년 04월 14일</v>
      </c>
      <c r="W59" t="str">
        <f t="shared" ref="W59" si="518">M59</f>
        <v>2022년 04월 15일</v>
      </c>
      <c r="X59" t="str">
        <f t="shared" ref="X59" si="519">M59</f>
        <v>2022년 04월 15일</v>
      </c>
      <c r="Y59" t="str">
        <f t="shared" ref="Y59" si="520">M59</f>
        <v>2022년 04월 15일</v>
      </c>
      <c r="Z59" t="str">
        <f t="shared" si="294"/>
        <v>네이처힐가든 소방작동기능점검 지적사항 보수</v>
      </c>
      <c r="AA59" t="str">
        <f t="shared" si="295"/>
        <v>네이처힐가든 소방작동기능점검 지적사항 보수</v>
      </c>
      <c r="AB59" t="str">
        <f t="shared" si="16"/>
        <v>금원(금영원)</v>
      </c>
      <c r="AC59" t="str">
        <f t="shared" si="17"/>
        <v>금원(금영원)</v>
      </c>
      <c r="AD59" t="str">
        <f t="shared" ref="AD59" si="521">M59</f>
        <v>2022년 04월 15일</v>
      </c>
      <c r="AE59" t="str">
        <f t="shared" ref="AE59" si="522">O59</f>
        <v>2022년 04월 18일</v>
      </c>
      <c r="AF59" t="str">
        <f t="shared" ref="AF59" si="523">O59</f>
        <v>2022년 04월 18일</v>
      </c>
      <c r="AG59" t="str">
        <f t="shared" ref="AG59" si="524">O59</f>
        <v>2022년 04월 18일</v>
      </c>
      <c r="AH59">
        <f t="shared" si="62"/>
        <v>58</v>
      </c>
    </row>
    <row r="60" spans="1:34">
      <c r="A60" s="7" t="s">
        <v>139</v>
      </c>
      <c r="B60" s="7" t="s">
        <v>140</v>
      </c>
      <c r="C60" s="10">
        <v>44671</v>
      </c>
      <c r="D60" s="10">
        <v>44671</v>
      </c>
      <c r="E60" s="10">
        <v>44671</v>
      </c>
      <c r="F60" s="10">
        <v>44672</v>
      </c>
      <c r="G60" s="17">
        <v>1860320</v>
      </c>
      <c r="I60" s="21" t="s">
        <v>39</v>
      </c>
      <c r="J60" s="8" t="str">
        <f t="shared" si="279"/>
        <v>금1,860,320원(금일백팔십육만삼백이십원)</v>
      </c>
      <c r="K60" s="8" t="str">
        <f t="shared" si="1"/>
        <v>금원(금영원)</v>
      </c>
      <c r="L60" t="str">
        <f t="shared" si="280"/>
        <v>2022년 04월 20일</v>
      </c>
      <c r="M60" s="4" t="str">
        <f t="shared" si="281"/>
        <v>2022년 04월 20일</v>
      </c>
      <c r="N60" s="4" t="str">
        <f t="shared" si="282"/>
        <v>2022년 04월 20일</v>
      </c>
      <c r="O60" t="str">
        <f t="shared" si="283"/>
        <v>2022년 04월 21일</v>
      </c>
      <c r="P60" t="str">
        <f t="shared" si="284"/>
        <v>서초네이처힐5단지 승강기 502-1 비상통화장치 등 교체</v>
      </c>
      <c r="Q60" t="str">
        <f t="shared" si="285"/>
        <v>서초네이처힐5단지 승강기 502-1 비상통화장치 등 교체</v>
      </c>
      <c r="R60" t="str">
        <f t="shared" si="286"/>
        <v>서초네이처힐5단지 승강기 502-1 비상통화장치 등 교체</v>
      </c>
      <c r="S60" t="str">
        <f t="shared" si="287"/>
        <v>금1,860,320원(금일백팔십육만삼백이십원)</v>
      </c>
      <c r="T60" s="18" t="str">
        <f t="shared" si="288"/>
        <v>금원(금영원)</v>
      </c>
      <c r="U60" t="str">
        <f t="shared" ref="U60" si="525">N60</f>
        <v>2022년 04월 20일</v>
      </c>
      <c r="V60" t="str">
        <f t="shared" ref="V60" si="526">L60</f>
        <v>2022년 04월 20일</v>
      </c>
      <c r="W60" t="str">
        <f t="shared" ref="W60" si="527">M60</f>
        <v>2022년 04월 20일</v>
      </c>
      <c r="X60" t="str">
        <f t="shared" ref="X60" si="528">M60</f>
        <v>2022년 04월 20일</v>
      </c>
      <c r="Y60" t="str">
        <f t="shared" ref="Y60" si="529">M60</f>
        <v>2022년 04월 20일</v>
      </c>
      <c r="Z60" t="str">
        <f t="shared" si="294"/>
        <v>서초네이처힐5단지 승강기 502-1 비상통화장치 등 교체</v>
      </c>
      <c r="AA60" t="str">
        <f t="shared" si="295"/>
        <v>서초네이처힐5단지 승강기 502-1 비상통화장치 등 교체</v>
      </c>
      <c r="AB60" t="str">
        <f t="shared" si="16"/>
        <v>금원(금영원)</v>
      </c>
      <c r="AC60" t="str">
        <f t="shared" si="17"/>
        <v>금원(금영원)</v>
      </c>
      <c r="AD60" t="str">
        <f t="shared" ref="AD60" si="530">M60</f>
        <v>2022년 04월 20일</v>
      </c>
      <c r="AE60" t="str">
        <f t="shared" ref="AE60" si="531">O60</f>
        <v>2022년 04월 21일</v>
      </c>
      <c r="AF60" t="str">
        <f t="shared" ref="AF60" si="532">O60</f>
        <v>2022년 04월 21일</v>
      </c>
      <c r="AG60" t="str">
        <f t="shared" ref="AG60" si="533">O60</f>
        <v>2022년 04월 21일</v>
      </c>
      <c r="AH60">
        <f t="shared" si="62"/>
        <v>59</v>
      </c>
    </row>
    <row r="61" spans="1:34">
      <c r="A61" s="7" t="s">
        <v>141</v>
      </c>
      <c r="B61" s="7" t="s">
        <v>85</v>
      </c>
      <c r="C61" s="10">
        <v>44676</v>
      </c>
      <c r="D61" s="10">
        <v>44676</v>
      </c>
      <c r="E61" s="10">
        <v>44676</v>
      </c>
      <c r="F61" s="10">
        <v>44677</v>
      </c>
      <c r="G61" s="17">
        <v>737000</v>
      </c>
      <c r="I61" s="21" t="s">
        <v>50</v>
      </c>
      <c r="J61" s="8" t="str">
        <f t="shared" si="279"/>
        <v>금737,000원(금칠십삼만칠천원)</v>
      </c>
      <c r="K61" s="8" t="str">
        <f t="shared" si="1"/>
        <v>금원(금영원)</v>
      </c>
      <c r="L61" t="str">
        <f t="shared" si="280"/>
        <v>2022년 04월 25일</v>
      </c>
      <c r="M61" s="4" t="str">
        <f t="shared" si="281"/>
        <v>2022년 04월 25일</v>
      </c>
      <c r="N61" s="4" t="str">
        <f t="shared" si="282"/>
        <v>2022년 04월 25일</v>
      </c>
      <c r="O61" t="str">
        <f t="shared" si="283"/>
        <v>2022년 04월 26일</v>
      </c>
      <c r="P61" t="str">
        <f t="shared" si="284"/>
        <v>양재리본타워1단지 주민공동시설 소방시설 보수</v>
      </c>
      <c r="Q61" t="str">
        <f t="shared" si="285"/>
        <v>양재리본타워1단지 주민공동시설 소방시설 보수</v>
      </c>
      <c r="R61" t="str">
        <f t="shared" si="286"/>
        <v>양재리본타워1단지 주민공동시설 소방시설 보수</v>
      </c>
      <c r="S61" t="str">
        <f t="shared" si="287"/>
        <v>금737,000원(금칠십삼만칠천원)</v>
      </c>
      <c r="T61" s="18" t="str">
        <f t="shared" si="288"/>
        <v>금원(금영원)</v>
      </c>
      <c r="U61" t="str">
        <f t="shared" ref="U61" si="534">N61</f>
        <v>2022년 04월 25일</v>
      </c>
      <c r="V61" t="str">
        <f t="shared" ref="V61" si="535">L61</f>
        <v>2022년 04월 25일</v>
      </c>
      <c r="W61" t="str">
        <f t="shared" ref="W61" si="536">M61</f>
        <v>2022년 04월 25일</v>
      </c>
      <c r="X61" t="str">
        <f t="shared" ref="X61" si="537">M61</f>
        <v>2022년 04월 25일</v>
      </c>
      <c r="Y61" t="str">
        <f t="shared" ref="Y61" si="538">M61</f>
        <v>2022년 04월 25일</v>
      </c>
      <c r="Z61" t="str">
        <f t="shared" si="294"/>
        <v>양재리본타워1단지 주민공동시설 소방시설 보수</v>
      </c>
      <c r="AA61" t="str">
        <f t="shared" si="295"/>
        <v>양재리본타워1단지 주민공동시설 소방시설 보수</v>
      </c>
      <c r="AB61" t="str">
        <f t="shared" si="16"/>
        <v>금원(금영원)</v>
      </c>
      <c r="AC61" t="str">
        <f t="shared" si="17"/>
        <v>금원(금영원)</v>
      </c>
      <c r="AD61" t="str">
        <f t="shared" ref="AD61" si="539">M61</f>
        <v>2022년 04월 25일</v>
      </c>
      <c r="AE61" t="str">
        <f t="shared" ref="AE61" si="540">O61</f>
        <v>2022년 04월 26일</v>
      </c>
      <c r="AF61" t="str">
        <f t="shared" ref="AF61" si="541">O61</f>
        <v>2022년 04월 26일</v>
      </c>
      <c r="AG61" t="str">
        <f t="shared" ref="AG61" si="542">O61</f>
        <v>2022년 04월 26일</v>
      </c>
      <c r="AH61">
        <f t="shared" si="62"/>
        <v>60</v>
      </c>
    </row>
    <row r="62" spans="1:34">
      <c r="A62" s="7" t="s">
        <v>142</v>
      </c>
      <c r="B62" s="7" t="s">
        <v>143</v>
      </c>
      <c r="C62" s="10">
        <v>44664</v>
      </c>
      <c r="D62" s="10">
        <v>44670</v>
      </c>
      <c r="E62" s="10">
        <v>44664</v>
      </c>
      <c r="F62" s="10">
        <v>44677</v>
      </c>
      <c r="G62" s="17">
        <v>19017000</v>
      </c>
      <c r="I62" s="21" t="s">
        <v>83</v>
      </c>
      <c r="J62" s="8" t="str">
        <f t="shared" si="279"/>
        <v>금19,017,000원(금일천구백일만칠천원)</v>
      </c>
      <c r="K62" s="8" t="str">
        <f t="shared" si="1"/>
        <v>금원(금영원)</v>
      </c>
      <c r="L62" t="str">
        <f t="shared" si="280"/>
        <v>2022년 04월 13일</v>
      </c>
      <c r="M62" s="4" t="str">
        <f t="shared" si="281"/>
        <v>2022년 04월 19일</v>
      </c>
      <c r="N62" s="4" t="str">
        <f t="shared" si="282"/>
        <v>2022년 04월 13일</v>
      </c>
      <c r="O62" t="str">
        <f t="shared" si="283"/>
        <v>2022년 04월 26일</v>
      </c>
      <c r="P62" t="str">
        <f t="shared" si="284"/>
        <v>서초네이처힐가든 106동 202호 외 입주예정 8세대 시설물 보수공사</v>
      </c>
      <c r="Q62" t="str">
        <f t="shared" si="285"/>
        <v>서초네이처힐가든 106동 202호 외 입주예정 8세대 시설물 보수공사</v>
      </c>
      <c r="R62" t="str">
        <f t="shared" si="286"/>
        <v>서초네이처힐가든 106동 202호 외 입주예정 8세대 시설물 보수공사</v>
      </c>
      <c r="S62" t="str">
        <f t="shared" si="287"/>
        <v>금19,017,000원(금일천구백일만칠천원)</v>
      </c>
      <c r="T62" s="18" t="str">
        <f t="shared" si="288"/>
        <v>금원(금영원)</v>
      </c>
      <c r="U62" t="str">
        <f t="shared" ref="U62" si="543">N62</f>
        <v>2022년 04월 13일</v>
      </c>
      <c r="V62" t="str">
        <f t="shared" ref="V62" si="544">L62</f>
        <v>2022년 04월 13일</v>
      </c>
      <c r="W62" t="str">
        <f t="shared" ref="W62" si="545">M62</f>
        <v>2022년 04월 19일</v>
      </c>
      <c r="X62" t="str">
        <f t="shared" ref="X62" si="546">M62</f>
        <v>2022년 04월 19일</v>
      </c>
      <c r="Y62" t="str">
        <f t="shared" ref="Y62" si="547">M62</f>
        <v>2022년 04월 19일</v>
      </c>
      <c r="Z62" t="str">
        <f t="shared" si="294"/>
        <v>서초네이처힐가든 106동 202호 외 입주예정 8세대 시설물 보수공사</v>
      </c>
      <c r="AA62" t="str">
        <f t="shared" si="295"/>
        <v>서초네이처힐가든 106동 202호 외 입주예정 8세대 시설물 보수공사</v>
      </c>
      <c r="AB62" t="str">
        <f t="shared" si="16"/>
        <v>금원(금영원)</v>
      </c>
      <c r="AC62" t="str">
        <f t="shared" si="17"/>
        <v>금원(금영원)</v>
      </c>
      <c r="AD62" t="str">
        <f t="shared" ref="AD62" si="548">M62</f>
        <v>2022년 04월 19일</v>
      </c>
      <c r="AE62" t="str">
        <f t="shared" ref="AE62" si="549">O62</f>
        <v>2022년 04월 26일</v>
      </c>
      <c r="AF62" t="str">
        <f t="shared" ref="AF62" si="550">O62</f>
        <v>2022년 04월 26일</v>
      </c>
      <c r="AG62" t="str">
        <f t="shared" ref="AG62" si="551">O62</f>
        <v>2022년 04월 26일</v>
      </c>
      <c r="AH62">
        <f t="shared" si="62"/>
        <v>61</v>
      </c>
    </row>
    <row r="63" spans="1:34">
      <c r="A63" s="7" t="s">
        <v>144</v>
      </c>
      <c r="B63" s="7" t="s">
        <v>145</v>
      </c>
      <c r="C63" s="10">
        <v>44662</v>
      </c>
      <c r="D63" s="10">
        <v>44668</v>
      </c>
      <c r="E63" s="10">
        <v>44668</v>
      </c>
      <c r="F63" s="10">
        <v>44677</v>
      </c>
      <c r="G63" s="17">
        <v>48391000</v>
      </c>
      <c r="I63" s="21" t="s">
        <v>146</v>
      </c>
      <c r="J63" s="8" t="str">
        <f t="shared" si="279"/>
        <v>금48,391,000원(금사천팔백삼십구만일천원)</v>
      </c>
      <c r="K63" s="8" t="str">
        <f t="shared" si="1"/>
        <v>금원(금영원)</v>
      </c>
      <c r="L63" t="str">
        <f t="shared" si="280"/>
        <v>2022년 04월 11일</v>
      </c>
      <c r="M63" s="4" t="str">
        <f t="shared" si="281"/>
        <v>2022년 04월 17일</v>
      </c>
      <c r="N63" s="4" t="str">
        <f t="shared" si="282"/>
        <v>2022년 04월 17일</v>
      </c>
      <c r="O63" t="str">
        <f t="shared" si="283"/>
        <v>2022년 04월 26일</v>
      </c>
      <c r="P63" t="str">
        <f t="shared" si="284"/>
        <v>서초네이처힐가든 107-301 외 입주예정 17세대 보수공사</v>
      </c>
      <c r="Q63" t="str">
        <f t="shared" si="285"/>
        <v>서초네이처힐가든 107-301 외 입주예정 17세대 보수공사</v>
      </c>
      <c r="R63" t="str">
        <f t="shared" si="286"/>
        <v>서초네이처힐가든 107-301 외 입주예정 17세대 보수공사</v>
      </c>
      <c r="S63" t="str">
        <f t="shared" si="287"/>
        <v>금48,391,000원(금사천팔백삼십구만일천원)</v>
      </c>
      <c r="T63" s="18" t="str">
        <f t="shared" si="288"/>
        <v>금원(금영원)</v>
      </c>
      <c r="U63" t="str">
        <f t="shared" ref="U63" si="552">N63</f>
        <v>2022년 04월 17일</v>
      </c>
      <c r="V63" t="str">
        <f t="shared" ref="V63" si="553">L63</f>
        <v>2022년 04월 11일</v>
      </c>
      <c r="W63" t="str">
        <f t="shared" ref="W63" si="554">M63</f>
        <v>2022년 04월 17일</v>
      </c>
      <c r="X63" t="str">
        <f t="shared" ref="X63" si="555">M63</f>
        <v>2022년 04월 17일</v>
      </c>
      <c r="Y63" t="str">
        <f t="shared" ref="Y63" si="556">M63</f>
        <v>2022년 04월 17일</v>
      </c>
      <c r="Z63" t="str">
        <f t="shared" si="294"/>
        <v>서초네이처힐가든 107-301 외 입주예정 17세대 보수공사</v>
      </c>
      <c r="AA63" t="str">
        <f t="shared" si="295"/>
        <v>서초네이처힐가든 107-301 외 입주예정 17세대 보수공사</v>
      </c>
      <c r="AB63" t="str">
        <f t="shared" si="16"/>
        <v>금원(금영원)</v>
      </c>
      <c r="AC63" t="str">
        <f t="shared" si="17"/>
        <v>금원(금영원)</v>
      </c>
      <c r="AD63" t="str">
        <f t="shared" ref="AD63" si="557">M63</f>
        <v>2022년 04월 17일</v>
      </c>
      <c r="AE63" t="str">
        <f t="shared" ref="AE63" si="558">O63</f>
        <v>2022년 04월 26일</v>
      </c>
      <c r="AF63" t="str">
        <f t="shared" ref="AF63" si="559">O63</f>
        <v>2022년 04월 26일</v>
      </c>
      <c r="AG63" t="str">
        <f t="shared" ref="AG63" si="560">O63</f>
        <v>2022년 04월 26일</v>
      </c>
      <c r="AH63">
        <f t="shared" si="62"/>
        <v>62</v>
      </c>
    </row>
    <row r="64" spans="1:34">
      <c r="A64" s="7" t="s">
        <v>147</v>
      </c>
      <c r="B64" s="7" t="s">
        <v>148</v>
      </c>
      <c r="C64" s="10">
        <v>44678</v>
      </c>
      <c r="D64" s="10">
        <v>44678</v>
      </c>
      <c r="E64" s="10">
        <v>44678</v>
      </c>
      <c r="F64" s="10">
        <v>44679</v>
      </c>
      <c r="G64" s="17">
        <v>1100000</v>
      </c>
      <c r="I64" s="21" t="s">
        <v>50</v>
      </c>
      <c r="J64" s="8" t="str">
        <f t="shared" si="279"/>
        <v>금1,100,000원(금일백일십만원)</v>
      </c>
      <c r="K64" s="8" t="str">
        <f t="shared" si="1"/>
        <v>금원(금영원)</v>
      </c>
      <c r="L64" t="str">
        <f t="shared" si="280"/>
        <v>2022년 04월 27일</v>
      </c>
      <c r="M64" s="4" t="str">
        <f t="shared" si="281"/>
        <v>2022년 04월 27일</v>
      </c>
      <c r="N64" s="4" t="str">
        <f t="shared" si="282"/>
        <v>2022년 04월 27일</v>
      </c>
      <c r="O64" t="str">
        <f t="shared" si="283"/>
        <v>2022년 04월 28일</v>
      </c>
      <c r="P64" t="str">
        <f t="shared" si="284"/>
        <v>양재리본타워1단지 비상발전기 축전지 교체</v>
      </c>
      <c r="Q64" t="str">
        <f t="shared" si="285"/>
        <v>양재리본타워1단지 비상발전기 축전지 교체</v>
      </c>
      <c r="R64" t="str">
        <f t="shared" si="286"/>
        <v>양재리본타워1단지 비상발전기 축전지 교체</v>
      </c>
      <c r="S64" t="str">
        <f t="shared" si="287"/>
        <v>금1,100,000원(금일백일십만원)</v>
      </c>
      <c r="T64" s="18" t="str">
        <f t="shared" si="288"/>
        <v>금원(금영원)</v>
      </c>
      <c r="U64" t="str">
        <f t="shared" ref="U64" si="561">N64</f>
        <v>2022년 04월 27일</v>
      </c>
      <c r="V64" t="str">
        <f t="shared" ref="V64" si="562">L64</f>
        <v>2022년 04월 27일</v>
      </c>
      <c r="W64" t="str">
        <f t="shared" ref="W64" si="563">M64</f>
        <v>2022년 04월 27일</v>
      </c>
      <c r="X64" t="str">
        <f t="shared" ref="X64" si="564">M64</f>
        <v>2022년 04월 27일</v>
      </c>
      <c r="Y64" t="str">
        <f t="shared" ref="Y64" si="565">M64</f>
        <v>2022년 04월 27일</v>
      </c>
      <c r="Z64" t="str">
        <f t="shared" si="294"/>
        <v>양재리본타워1단지 비상발전기 축전지 교체</v>
      </c>
      <c r="AA64" t="str">
        <f t="shared" si="295"/>
        <v>양재리본타워1단지 비상발전기 축전지 교체</v>
      </c>
      <c r="AB64" t="str">
        <f t="shared" si="16"/>
        <v>금원(금영원)</v>
      </c>
      <c r="AC64" t="str">
        <f t="shared" si="17"/>
        <v>금원(금영원)</v>
      </c>
      <c r="AD64" t="str">
        <f t="shared" ref="AD64" si="566">M64</f>
        <v>2022년 04월 27일</v>
      </c>
      <c r="AE64" t="str">
        <f t="shared" ref="AE64" si="567">O64</f>
        <v>2022년 04월 28일</v>
      </c>
      <c r="AF64" t="str">
        <f t="shared" ref="AF64" si="568">O64</f>
        <v>2022년 04월 28일</v>
      </c>
      <c r="AG64" t="str">
        <f t="shared" ref="AG64" si="569">O64</f>
        <v>2022년 04월 28일</v>
      </c>
      <c r="AH64">
        <f t="shared" si="62"/>
        <v>63</v>
      </c>
    </row>
    <row r="65" spans="1:55">
      <c r="A65" s="7" t="s">
        <v>149</v>
      </c>
      <c r="B65" s="7" t="s">
        <v>150</v>
      </c>
      <c r="C65" s="10">
        <v>44677</v>
      </c>
      <c r="D65" s="10">
        <v>44683</v>
      </c>
      <c r="E65" s="10">
        <v>44677</v>
      </c>
      <c r="F65" s="10">
        <v>44690</v>
      </c>
      <c r="G65" s="17">
        <v>48074000</v>
      </c>
      <c r="I65" s="21" t="s">
        <v>113</v>
      </c>
      <c r="J65" s="8" t="str">
        <f t="shared" si="279"/>
        <v>금48,074,000원(금사천팔백칠만사천원)</v>
      </c>
      <c r="K65" s="8" t="str">
        <f t="shared" si="1"/>
        <v>금원(금영원)</v>
      </c>
      <c r="L65" t="str">
        <f t="shared" si="280"/>
        <v>2022년 04월 26일</v>
      </c>
      <c r="M65" s="4" t="str">
        <f t="shared" si="281"/>
        <v>2022년 05월 02일</v>
      </c>
      <c r="N65" s="4" t="str">
        <f t="shared" si="282"/>
        <v>2022년 04월 26일</v>
      </c>
      <c r="O65" t="str">
        <f t="shared" si="283"/>
        <v>2022년 05월 09일</v>
      </c>
      <c r="P65" t="str">
        <f t="shared" si="284"/>
        <v>서초네이처힐가든 110-201 외 입주 17세대 시설물 보수공사</v>
      </c>
      <c r="Q65" t="str">
        <f t="shared" si="285"/>
        <v>서초네이처힐가든 110-201 외 입주 17세대 시설물 보수공사</v>
      </c>
      <c r="R65" t="str">
        <f t="shared" si="286"/>
        <v>서초네이처힐가든 110-201 외 입주 17세대 시설물 보수공사</v>
      </c>
      <c r="S65" t="str">
        <f t="shared" si="287"/>
        <v>금48,074,000원(금사천팔백칠만사천원)</v>
      </c>
      <c r="T65" s="18" t="str">
        <f t="shared" si="288"/>
        <v>금원(금영원)</v>
      </c>
      <c r="U65" t="str">
        <f t="shared" ref="U65" si="570">N65</f>
        <v>2022년 04월 26일</v>
      </c>
      <c r="V65" t="str">
        <f t="shared" ref="V65" si="571">L65</f>
        <v>2022년 04월 26일</v>
      </c>
      <c r="W65" t="str">
        <f t="shared" ref="W65" si="572">M65</f>
        <v>2022년 05월 02일</v>
      </c>
      <c r="X65" t="str">
        <f t="shared" ref="X65" si="573">M65</f>
        <v>2022년 05월 02일</v>
      </c>
      <c r="Y65" t="str">
        <f t="shared" ref="Y65" si="574">M65</f>
        <v>2022년 05월 02일</v>
      </c>
      <c r="Z65" t="str">
        <f t="shared" si="294"/>
        <v>서초네이처힐가든 110-201 외 입주 17세대 시설물 보수공사</v>
      </c>
      <c r="AA65" t="str">
        <f t="shared" si="295"/>
        <v>서초네이처힐가든 110-201 외 입주 17세대 시설물 보수공사</v>
      </c>
      <c r="AB65" t="str">
        <f t="shared" si="16"/>
        <v>금원(금영원)</v>
      </c>
      <c r="AC65" t="str">
        <f t="shared" si="17"/>
        <v>금원(금영원)</v>
      </c>
      <c r="AD65" t="str">
        <f t="shared" ref="AD65" si="575">M65</f>
        <v>2022년 05월 02일</v>
      </c>
      <c r="AE65" t="str">
        <f t="shared" ref="AE65" si="576">O65</f>
        <v>2022년 05월 09일</v>
      </c>
      <c r="AF65" t="str">
        <f t="shared" ref="AF65" si="577">O65</f>
        <v>2022년 05월 09일</v>
      </c>
      <c r="AG65" t="str">
        <f t="shared" ref="AG65" si="578">O65</f>
        <v>2022년 05월 09일</v>
      </c>
      <c r="AH65">
        <f t="shared" si="62"/>
        <v>64</v>
      </c>
    </row>
    <row r="66" spans="1:55">
      <c r="A66" s="7" t="s">
        <v>151</v>
      </c>
      <c r="B66" s="7" t="s">
        <v>152</v>
      </c>
      <c r="C66" s="10">
        <v>44684</v>
      </c>
      <c r="D66" s="10">
        <v>44690</v>
      </c>
      <c r="E66" s="10">
        <v>44684</v>
      </c>
      <c r="F66" s="10">
        <v>44690</v>
      </c>
      <c r="G66" s="17">
        <v>48440000</v>
      </c>
      <c r="I66" s="21" t="s">
        <v>153</v>
      </c>
      <c r="J66" s="8" t="str">
        <f t="shared" si="279"/>
        <v>금48,440,000원(금사천팔백사십사만원)</v>
      </c>
      <c r="K66" s="8" t="str">
        <f t="shared" ref="K66" si="579">T66</f>
        <v>금원(금영원)</v>
      </c>
      <c r="L66" t="str">
        <f t="shared" si="280"/>
        <v>2022년 05월 03일</v>
      </c>
      <c r="M66" s="4" t="str">
        <f t="shared" si="281"/>
        <v>2022년 05월 09일</v>
      </c>
      <c r="N66" s="4" t="str">
        <f t="shared" si="282"/>
        <v>2022년 05월 03일</v>
      </c>
      <c r="O66" t="str">
        <f t="shared" si="283"/>
        <v>2022년 05월 09일</v>
      </c>
      <c r="P66" t="str">
        <f t="shared" si="284"/>
        <v>서초네이처힐5단지 505동 1002호 외 10세대 입주세대 시설물 보수공사</v>
      </c>
      <c r="Q66" t="str">
        <f t="shared" si="285"/>
        <v>서초네이처힐5단지 505동 1002호 외 10세대 입주세대 시설물 보수공사</v>
      </c>
      <c r="R66" t="str">
        <f t="shared" si="286"/>
        <v>서초네이처힐5단지 505동 1002호 외 10세대 입주세대 시설물 보수공사</v>
      </c>
      <c r="S66" t="str">
        <f t="shared" si="287"/>
        <v>금48,440,000원(금사천팔백사십사만원)</v>
      </c>
      <c r="T66" s="18" t="str">
        <f t="shared" si="288"/>
        <v>금원(금영원)</v>
      </c>
      <c r="U66" t="str">
        <f t="shared" ref="U66" si="580">N66</f>
        <v>2022년 05월 03일</v>
      </c>
      <c r="V66" t="str">
        <f t="shared" ref="V66" si="581">L66</f>
        <v>2022년 05월 03일</v>
      </c>
      <c r="W66" t="str">
        <f t="shared" ref="W66" si="582">M66</f>
        <v>2022년 05월 09일</v>
      </c>
      <c r="X66" t="str">
        <f t="shared" ref="X66" si="583">M66</f>
        <v>2022년 05월 09일</v>
      </c>
      <c r="Y66" t="str">
        <f t="shared" ref="Y66" si="584">M66</f>
        <v>2022년 05월 09일</v>
      </c>
      <c r="Z66" t="str">
        <f t="shared" si="294"/>
        <v>서초네이처힐5단지 505동 1002호 외 10세대 입주세대 시설물 보수공사</v>
      </c>
      <c r="AA66" t="str">
        <f t="shared" si="295"/>
        <v>서초네이처힐5단지 505동 1002호 외 10세대 입주세대 시설물 보수공사</v>
      </c>
      <c r="AB66" t="str">
        <f t="shared" ref="AB66" si="585">"금"&amp;TEXT( H66,"#,###") &amp;"원"&amp;"(금"&amp; NUMBERSTRING(H66,1) &amp; "원)"</f>
        <v>금원(금영원)</v>
      </c>
      <c r="AC66" t="str">
        <f t="shared" ref="AC66" si="586">AB66</f>
        <v>금원(금영원)</v>
      </c>
      <c r="AD66" t="str">
        <f t="shared" ref="AD66" si="587">M66</f>
        <v>2022년 05월 09일</v>
      </c>
      <c r="AE66" t="str">
        <f t="shared" ref="AE66" si="588">O66</f>
        <v>2022년 05월 09일</v>
      </c>
      <c r="AF66" t="str">
        <f t="shared" ref="AF66" si="589">O66</f>
        <v>2022년 05월 09일</v>
      </c>
      <c r="AG66" t="str">
        <f t="shared" ref="AG66" si="590">O66</f>
        <v>2022년 05월 09일</v>
      </c>
      <c r="AH66">
        <f t="shared" si="62"/>
        <v>65</v>
      </c>
    </row>
    <row r="67" spans="1:55">
      <c r="A67" s="7" t="s">
        <v>154</v>
      </c>
      <c r="B67" s="7" t="s">
        <v>109</v>
      </c>
      <c r="C67" s="10">
        <v>44712</v>
      </c>
      <c r="D67" s="10">
        <v>44712</v>
      </c>
      <c r="E67" s="10">
        <v>44712</v>
      </c>
      <c r="F67" s="10">
        <v>44712</v>
      </c>
      <c r="G67" s="17">
        <v>3011800</v>
      </c>
      <c r="H67" s="17">
        <v>1500000</v>
      </c>
      <c r="I67" s="21" t="s">
        <v>50</v>
      </c>
      <c r="J67" s="8" t="str">
        <f t="shared" si="279"/>
        <v>금3,011,800원(금삼백일만일천팔백원)</v>
      </c>
      <c r="K67" s="8" t="str">
        <f>T67</f>
        <v>금1,500,000원(금일백오십만원), 계약금액의49.8%</v>
      </c>
      <c r="L67" t="str">
        <f t="shared" si="280"/>
        <v>2022년 05월 31일</v>
      </c>
      <c r="M67" s="4" t="str">
        <f t="shared" si="281"/>
        <v>2022년 05월 31일</v>
      </c>
      <c r="N67" s="4" t="str">
        <f t="shared" si="282"/>
        <v>2022년 05월 31일</v>
      </c>
      <c r="O67" t="str">
        <f t="shared" si="283"/>
        <v>2022년 05월 31일</v>
      </c>
      <c r="P67" t="str">
        <f t="shared" si="284"/>
        <v>양재리본타워1단지 승강기 101동1호기 IOC기판 외 교체</v>
      </c>
      <c r="Q67" t="str">
        <f t="shared" si="285"/>
        <v>양재리본타워1단지 승강기 101동1호기 IOC기판 외 교체</v>
      </c>
      <c r="R67" t="str">
        <f t="shared" si="286"/>
        <v>양재리본타워1단지 승강기 101동1호기 IOC기판 외 교체</v>
      </c>
      <c r="S67" t="str">
        <f t="shared" si="287"/>
        <v>금3,011,800원(금삼백일만일천팔백원)</v>
      </c>
      <c r="T67" s="18" t="str">
        <f>"금"&amp;TEXT( H67,"#,###") &amp;"원"&amp;"(금"&amp; NUMBERSTRING(H67,1) &amp; "원)" &amp;", 계약금액의"&amp;ROUND(H67/G67%, 1)&amp;"%"</f>
        <v>금1,500,000원(금일백오십만원), 계약금액의49.8%</v>
      </c>
      <c r="U67" t="str">
        <f t="shared" ref="U67" si="591">N67</f>
        <v>2022년 05월 31일</v>
      </c>
      <c r="V67" t="str">
        <f t="shared" ref="V67" si="592">L67</f>
        <v>2022년 05월 31일</v>
      </c>
      <c r="W67" t="str">
        <f t="shared" ref="W67" si="593">M67</f>
        <v>2022년 05월 31일</v>
      </c>
      <c r="X67" t="str">
        <f t="shared" ref="X67" si="594">M67</f>
        <v>2022년 05월 31일</v>
      </c>
      <c r="Y67" t="str">
        <f t="shared" ref="Y67" si="595">M67</f>
        <v>2022년 05월 31일</v>
      </c>
      <c r="Z67" t="str">
        <f t="shared" si="294"/>
        <v>양재리본타워1단지 승강기 101동1호기 IOC기판 외 교체</v>
      </c>
      <c r="AA67" t="str">
        <f t="shared" si="295"/>
        <v>양재리본타워1단지 승강기 101동1호기 IOC기판 외 교체</v>
      </c>
      <c r="AB67" t="str">
        <f>"금"&amp;TEXT( H67,"#,###") &amp;"원"&amp;"(금"&amp; NUMBERSTRING(H67,1) &amp; "원)"</f>
        <v>금1,500,000원(금일백오십만원)</v>
      </c>
      <c r="AC67" t="str">
        <f>AB67</f>
        <v>금1,500,000원(금일백오십만원)</v>
      </c>
      <c r="AD67" t="str">
        <f t="shared" ref="AD67" si="596">M67</f>
        <v>2022년 05월 31일</v>
      </c>
      <c r="AE67" t="str">
        <f t="shared" ref="AE67" si="597">O67</f>
        <v>2022년 05월 31일</v>
      </c>
      <c r="AF67" t="str">
        <f t="shared" ref="AF67" si="598">O67</f>
        <v>2022년 05월 31일</v>
      </c>
      <c r="AG67" t="str">
        <f t="shared" ref="AG67" si="599">O67</f>
        <v>2022년 05월 31일</v>
      </c>
      <c r="AH67">
        <f t="shared" si="62"/>
        <v>66</v>
      </c>
    </row>
    <row r="68" spans="1:55">
      <c r="A68" s="7" t="s">
        <v>165</v>
      </c>
      <c r="B68" s="7" t="s">
        <v>163</v>
      </c>
      <c r="C68" s="10">
        <v>44734</v>
      </c>
      <c r="D68" s="10">
        <v>44734</v>
      </c>
      <c r="E68" s="10">
        <v>44734</v>
      </c>
      <c r="F68" s="10">
        <v>44734</v>
      </c>
      <c r="G68" s="17">
        <v>1469600</v>
      </c>
      <c r="H68" s="17">
        <v>1469600</v>
      </c>
      <c r="I68" s="21" t="s">
        <v>79</v>
      </c>
      <c r="J68" s="8" t="str">
        <f t="shared" ref="J68" si="600">"금"&amp;TEXT( G68,"#,###") &amp;"원"&amp;"(금"&amp; NUMBERSTRING(G68,1) &amp; "원)"</f>
        <v>금1,469,600원(금일백사십육만구천육백원)</v>
      </c>
      <c r="K68" s="8" t="str">
        <f>T68</f>
        <v>금1,469,600원(금일백사십육만구천육백원), 계약금액의100%</v>
      </c>
      <c r="L68" t="str">
        <f t="shared" ref="L68" si="601">TEXT(C68,"yyyy년 mm월 dd일")</f>
        <v>2022년 06월 22일</v>
      </c>
      <c r="M68" s="4" t="str">
        <f t="shared" ref="M68" si="602">TEXT(D68,"yyyy년 mm월 dd일")</f>
        <v>2022년 06월 22일</v>
      </c>
      <c r="N68" s="4" t="str">
        <f t="shared" ref="N68" si="603">TEXT(E68,"yyyy년 mm월 dd일")</f>
        <v>2022년 06월 22일</v>
      </c>
      <c r="O68" t="str">
        <f t="shared" ref="O68" si="604">TEXT(F68,"yyyy년 mm월 dd일")</f>
        <v>2022년 06월 22일</v>
      </c>
      <c r="P68" t="str">
        <f t="shared" ref="P68" si="605">A68</f>
        <v>양재리본타워2단지 변전실 디지털전력보호감시장치(GIPAM2200) 보수</v>
      </c>
      <c r="Q68" t="str">
        <f t="shared" ref="Q68" si="606">A68</f>
        <v>양재리본타워2단지 변전실 디지털전력보호감시장치(GIPAM2200) 보수</v>
      </c>
      <c r="R68" t="str">
        <f t="shared" ref="R68" si="607">A68</f>
        <v>양재리본타워2단지 변전실 디지털전력보호감시장치(GIPAM2200) 보수</v>
      </c>
      <c r="S68" t="str">
        <f t="shared" ref="S68" si="608">"금"&amp;TEXT( G68,"#,###") &amp;"원"&amp;"(금"&amp; NUMBERSTRING(G68,1) &amp; "원)"</f>
        <v>금1,469,600원(금일백사십육만구천육백원)</v>
      </c>
      <c r="T68" t="str">
        <f>"금"&amp;TEXT( H68,"#,###") &amp;"원"&amp;"(금"&amp; NUMBERSTRING(H68,1) &amp; "원)" &amp;", 계약금액의"&amp;ROUND(H68/G68%, 1)&amp;"%"</f>
        <v>금1,469,600원(금일백사십육만구천육백원), 계약금액의100%</v>
      </c>
      <c r="U68" t="str">
        <f t="shared" ref="U68" si="609">N68</f>
        <v>2022년 06월 22일</v>
      </c>
      <c r="V68" t="str">
        <f t="shared" ref="V68" si="610">L68</f>
        <v>2022년 06월 22일</v>
      </c>
      <c r="W68" t="str">
        <f t="shared" ref="W68" si="611">M68</f>
        <v>2022년 06월 22일</v>
      </c>
      <c r="X68" t="str">
        <f t="shared" ref="X68" si="612">M68</f>
        <v>2022년 06월 22일</v>
      </c>
      <c r="Y68" t="str">
        <f t="shared" ref="Y68" si="613">M68</f>
        <v>2022년 06월 22일</v>
      </c>
      <c r="Z68" t="str">
        <f t="shared" ref="Z68" si="614">A68</f>
        <v>양재리본타워2단지 변전실 디지털전력보호감시장치(GIPAM2200) 보수</v>
      </c>
      <c r="AA68" t="str">
        <f t="shared" ref="AA68" si="615">A68</f>
        <v>양재리본타워2단지 변전실 디지털전력보호감시장치(GIPAM2200) 보수</v>
      </c>
      <c r="AB68" t="str">
        <f>"금"&amp;TEXT( H68,"#,###") &amp;"원"&amp;"(금"&amp; NUMBERSTRING(H68,1) &amp; "원)"</f>
        <v>금1,469,600원(금일백사십육만구천육백원)</v>
      </c>
      <c r="AC68" t="str">
        <f>AB68</f>
        <v>금1,469,600원(금일백사십육만구천육백원)</v>
      </c>
      <c r="AD68" t="str">
        <f t="shared" ref="AD68" si="616">M68</f>
        <v>2022년 06월 22일</v>
      </c>
      <c r="AE68" t="str">
        <f t="shared" ref="AE68" si="617">O68</f>
        <v>2022년 06월 22일</v>
      </c>
      <c r="AF68" t="str">
        <f t="shared" ref="AF68" si="618">O68</f>
        <v>2022년 06월 22일</v>
      </c>
      <c r="AG68" t="str">
        <f t="shared" ref="AG68" si="619">O68</f>
        <v>2022년 06월 22일</v>
      </c>
    </row>
    <row r="69" spans="1:55">
      <c r="C69" s="7"/>
      <c r="D69" s="7"/>
      <c r="E69" s="7"/>
      <c r="F69" s="7"/>
      <c r="G69" s="7"/>
      <c r="H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2575560</xdr:colOff>
                <xdr:row>0</xdr:row>
                <xdr:rowOff>0</xdr:rowOff>
              </from>
              <to>
                <xdr:col>0</xdr:col>
                <xdr:colOff>3970020</xdr:colOff>
                <xdr:row>1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7.399999999999999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d_h</vt:lpstr>
      <vt:lpstr>fd_inf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A8526</dc:creator>
  <cp:lastModifiedBy>A8526</cp:lastModifiedBy>
  <cp:lastPrinted>2021-02-07T05:36:19Z</cp:lastPrinted>
  <dcterms:created xsi:type="dcterms:W3CDTF">2021-02-07T05:29:32Z</dcterms:created>
  <dcterms:modified xsi:type="dcterms:W3CDTF">2022-06-21T22:20:39Z</dcterms:modified>
</cp:coreProperties>
</file>